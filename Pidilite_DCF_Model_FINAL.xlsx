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REYAS PURKAR\Downloads\"/>
    </mc:Choice>
  </mc:AlternateContent>
  <xr:revisionPtr revIDLastSave="0" documentId="13_ncr:1_{1A1A9620-87C2-4BB4-B16B-FF0DAFB119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Assumptions" sheetId="2" r:id="rId2"/>
    <sheet name="Forecast" sheetId="3" r:id="rId3"/>
    <sheet name="DCF" sheetId="4" r:id="rId4"/>
    <sheet name="Valuation Bridge" sheetId="5" r:id="rId5"/>
    <sheet name="Revenue" sheetId="6" r:id="rId6"/>
    <sheet name="P&amp;L" sheetId="8" r:id="rId7"/>
    <sheet name="Segment" sheetId="7" r:id="rId8"/>
    <sheet name="Balance Sheet" sheetId="9" r:id="rId9"/>
    <sheet name="Cash Flow" sheetId="10" r:id="rId10"/>
    <sheet name="FCF" sheetId="11" r:id="rId11"/>
    <sheet name="Sources &amp; Check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2" l="1"/>
  <c r="F69" i="12" s="1"/>
  <c r="D65" i="12"/>
  <c r="F65" i="12" s="1"/>
  <c r="D62" i="12"/>
  <c r="F62" i="12" s="1"/>
  <c r="F61" i="12"/>
  <c r="D61" i="12"/>
  <c r="F56" i="12"/>
  <c r="E56" i="12"/>
  <c r="D56" i="12"/>
  <c r="H55" i="12"/>
  <c r="G55" i="12"/>
  <c r="F55" i="12"/>
  <c r="E55" i="12"/>
  <c r="D55" i="12"/>
  <c r="J55" i="12" s="1"/>
  <c r="H54" i="12"/>
  <c r="G54" i="12"/>
  <c r="F54" i="12"/>
  <c r="E54" i="12"/>
  <c r="D54" i="12"/>
  <c r="H52" i="12"/>
  <c r="G52" i="12"/>
  <c r="F52" i="12"/>
  <c r="E52" i="12"/>
  <c r="D52" i="12"/>
  <c r="H51" i="12"/>
  <c r="H48" i="12"/>
  <c r="H46" i="12"/>
  <c r="G46" i="12"/>
  <c r="F46" i="12"/>
  <c r="E46" i="12"/>
  <c r="D46" i="12"/>
  <c r="H45" i="12"/>
  <c r="D29" i="11"/>
  <c r="H23" i="11"/>
  <c r="G23" i="11"/>
  <c r="F23" i="11"/>
  <c r="E23" i="11"/>
  <c r="D23" i="11"/>
  <c r="H22" i="11"/>
  <c r="D22" i="3" s="1"/>
  <c r="I22" i="3" s="1"/>
  <c r="G22" i="11"/>
  <c r="F22" i="11"/>
  <c r="E22" i="11"/>
  <c r="D22" i="11"/>
  <c r="H21" i="11"/>
  <c r="G21" i="11"/>
  <c r="F21" i="11"/>
  <c r="E21" i="11"/>
  <c r="D21" i="11"/>
  <c r="H18" i="11"/>
  <c r="G18" i="11"/>
  <c r="F18" i="11"/>
  <c r="E18" i="11"/>
  <c r="H17" i="11"/>
  <c r="G17" i="11"/>
  <c r="F17" i="11"/>
  <c r="E17" i="11"/>
  <c r="D17" i="11"/>
  <c r="H16" i="11"/>
  <c r="G16" i="11"/>
  <c r="F16" i="11"/>
  <c r="E16" i="11"/>
  <c r="D16" i="11"/>
  <c r="H11" i="11"/>
  <c r="G11" i="11"/>
  <c r="F11" i="11"/>
  <c r="E11" i="11"/>
  <c r="D11" i="11"/>
  <c r="H8" i="11"/>
  <c r="G8" i="11"/>
  <c r="F8" i="11"/>
  <c r="E8" i="11"/>
  <c r="D8" i="11"/>
  <c r="E7" i="11"/>
  <c r="H73" i="10"/>
  <c r="H53" i="12" s="1"/>
  <c r="H70" i="10"/>
  <c r="G70" i="10"/>
  <c r="F70" i="10"/>
  <c r="E70" i="10"/>
  <c r="D70" i="10"/>
  <c r="H57" i="10"/>
  <c r="G57" i="10"/>
  <c r="G51" i="12" s="1"/>
  <c r="F57" i="10"/>
  <c r="F51" i="12" s="1"/>
  <c r="E57" i="10"/>
  <c r="E51" i="12" s="1"/>
  <c r="D57" i="10"/>
  <c r="D51" i="12" s="1"/>
  <c r="J51" i="12" s="1"/>
  <c r="G42" i="10"/>
  <c r="F42" i="10"/>
  <c r="E42" i="10"/>
  <c r="D42" i="10"/>
  <c r="D7" i="11" s="1"/>
  <c r="H40" i="10"/>
  <c r="H42" i="10" s="1"/>
  <c r="G40" i="10"/>
  <c r="F40" i="10"/>
  <c r="E40" i="10"/>
  <c r="D40" i="10"/>
  <c r="H26" i="10"/>
  <c r="G26" i="10"/>
  <c r="F26" i="10"/>
  <c r="E26" i="10"/>
  <c r="D26" i="10"/>
  <c r="D63" i="9"/>
  <c r="D30" i="11" s="1"/>
  <c r="H62" i="9"/>
  <c r="G62" i="9"/>
  <c r="F62" i="9"/>
  <c r="E62" i="9"/>
  <c r="D62" i="9"/>
  <c r="D28" i="11" s="1"/>
  <c r="H61" i="9"/>
  <c r="H29" i="11" s="1"/>
  <c r="G61" i="9"/>
  <c r="G29" i="11" s="1"/>
  <c r="F61" i="9"/>
  <c r="F29" i="11" s="1"/>
  <c r="E61" i="9"/>
  <c r="E29" i="11" s="1"/>
  <c r="D61" i="9"/>
  <c r="H60" i="9"/>
  <c r="G60" i="9"/>
  <c r="F60" i="9"/>
  <c r="E60" i="9"/>
  <c r="D60" i="9"/>
  <c r="D18" i="11" s="1"/>
  <c r="E56" i="9"/>
  <c r="E54" i="7" s="1"/>
  <c r="E55" i="7" s="1"/>
  <c r="D56" i="9"/>
  <c r="D54" i="7" s="1"/>
  <c r="D55" i="7" s="1"/>
  <c r="H55" i="9"/>
  <c r="H56" i="9" s="1"/>
  <c r="H54" i="7" s="1"/>
  <c r="G55" i="9"/>
  <c r="G56" i="9" s="1"/>
  <c r="G54" i="7" s="1"/>
  <c r="F55" i="9"/>
  <c r="E55" i="9"/>
  <c r="D55" i="9"/>
  <c r="H45" i="9"/>
  <c r="G45" i="9"/>
  <c r="F45" i="9"/>
  <c r="F56" i="9" s="1"/>
  <c r="E45" i="9"/>
  <c r="D45" i="9"/>
  <c r="H39" i="9"/>
  <c r="H37" i="9"/>
  <c r="G37" i="9"/>
  <c r="G39" i="9" s="1"/>
  <c r="F37" i="9"/>
  <c r="F39" i="9" s="1"/>
  <c r="F57" i="9" s="1"/>
  <c r="F49" i="12" s="1"/>
  <c r="E37" i="9"/>
  <c r="E39" i="9" s="1"/>
  <c r="E57" i="9" s="1"/>
  <c r="D37" i="9"/>
  <c r="D39" i="9" s="1"/>
  <c r="H30" i="9"/>
  <c r="G30" i="9"/>
  <c r="F30" i="9"/>
  <c r="E30" i="9"/>
  <c r="D30" i="9"/>
  <c r="H20" i="9"/>
  <c r="H31" i="9" s="1"/>
  <c r="H49" i="7" s="1"/>
  <c r="G20" i="9"/>
  <c r="G31" i="9" s="1"/>
  <c r="G48" i="12" s="1"/>
  <c r="F20" i="9"/>
  <c r="F31" i="9" s="1"/>
  <c r="F48" i="12" s="1"/>
  <c r="E20" i="9"/>
  <c r="D20" i="9"/>
  <c r="G38" i="8"/>
  <c r="G11" i="1" s="1"/>
  <c r="H37" i="8"/>
  <c r="G37" i="8"/>
  <c r="G39" i="8" s="1"/>
  <c r="G40" i="8" s="1"/>
  <c r="F37" i="8"/>
  <c r="E37" i="8"/>
  <c r="D37" i="8"/>
  <c r="H28" i="8"/>
  <c r="G28" i="8"/>
  <c r="F28" i="8"/>
  <c r="E28" i="8"/>
  <c r="D28" i="8"/>
  <c r="E22" i="8"/>
  <c r="E24" i="8" s="1"/>
  <c r="E31" i="7" s="1"/>
  <c r="E32" i="7" s="1"/>
  <c r="D22" i="8"/>
  <c r="D24" i="8" s="1"/>
  <c r="H20" i="8"/>
  <c r="H22" i="8" s="1"/>
  <c r="H24" i="8" s="1"/>
  <c r="G20" i="8"/>
  <c r="G22" i="8" s="1"/>
  <c r="G24" i="8" s="1"/>
  <c r="F20" i="8"/>
  <c r="F22" i="8" s="1"/>
  <c r="F24" i="8" s="1"/>
  <c r="E20" i="8"/>
  <c r="D20" i="8"/>
  <c r="H19" i="8"/>
  <c r="G19" i="8"/>
  <c r="F19" i="8"/>
  <c r="E19" i="8"/>
  <c r="D19" i="8"/>
  <c r="H10" i="8"/>
  <c r="G10" i="8"/>
  <c r="G45" i="12" s="1"/>
  <c r="F10" i="8"/>
  <c r="F45" i="12" s="1"/>
  <c r="E10" i="8"/>
  <c r="E45" i="12" s="1"/>
  <c r="D10" i="8"/>
  <c r="D45" i="12" s="1"/>
  <c r="J45" i="12" s="1"/>
  <c r="H8" i="8"/>
  <c r="G8" i="8"/>
  <c r="G9" i="1" s="1"/>
  <c r="F8" i="8"/>
  <c r="F9" i="1" s="1"/>
  <c r="E8" i="8"/>
  <c r="E9" i="1" s="1"/>
  <c r="H65" i="7"/>
  <c r="G65" i="7"/>
  <c r="F65" i="7"/>
  <c r="E65" i="7"/>
  <c r="D65" i="7"/>
  <c r="H64" i="7"/>
  <c r="G64" i="7"/>
  <c r="F64" i="7"/>
  <c r="E64" i="7"/>
  <c r="D64" i="7"/>
  <c r="H61" i="7"/>
  <c r="G61" i="7"/>
  <c r="F61" i="7"/>
  <c r="E61" i="7"/>
  <c r="D61" i="7"/>
  <c r="H60" i="7"/>
  <c r="H62" i="7" s="1"/>
  <c r="G60" i="7"/>
  <c r="G62" i="7" s="1"/>
  <c r="F60" i="7"/>
  <c r="F62" i="7" s="1"/>
  <c r="E60" i="7"/>
  <c r="E62" i="7" s="1"/>
  <c r="D60" i="7"/>
  <c r="D62" i="7" s="1"/>
  <c r="H58" i="7"/>
  <c r="G58" i="7"/>
  <c r="F58" i="7"/>
  <c r="E58" i="7"/>
  <c r="D58" i="7"/>
  <c r="F54" i="7"/>
  <c r="H53" i="7"/>
  <c r="G53" i="7"/>
  <c r="F53" i="7"/>
  <c r="F55" i="7" s="1"/>
  <c r="E53" i="7"/>
  <c r="D53" i="7"/>
  <c r="G49" i="7"/>
  <c r="F49" i="7"/>
  <c r="H48" i="7"/>
  <c r="G48" i="7"/>
  <c r="F48" i="7"/>
  <c r="E48" i="7"/>
  <c r="D48" i="7"/>
  <c r="H46" i="7"/>
  <c r="G46" i="7"/>
  <c r="F46" i="7"/>
  <c r="E46" i="7"/>
  <c r="D46" i="7"/>
  <c r="G40" i="7"/>
  <c r="F40" i="7"/>
  <c r="E40" i="7"/>
  <c r="D40" i="7"/>
  <c r="H39" i="7"/>
  <c r="G39" i="7"/>
  <c r="F39" i="7"/>
  <c r="E39" i="7"/>
  <c r="H38" i="7"/>
  <c r="G38" i="7"/>
  <c r="F38" i="7"/>
  <c r="E38" i="7"/>
  <c r="H37" i="7"/>
  <c r="H40" i="7" s="1"/>
  <c r="G37" i="7"/>
  <c r="F37" i="7"/>
  <c r="E37" i="7"/>
  <c r="D37" i="7"/>
  <c r="G31" i="7"/>
  <c r="G32" i="7" s="1"/>
  <c r="F31" i="7"/>
  <c r="F32" i="7" s="1"/>
  <c r="H29" i="7"/>
  <c r="G29" i="7"/>
  <c r="F29" i="7"/>
  <c r="E29" i="7"/>
  <c r="G27" i="7"/>
  <c r="F27" i="7"/>
  <c r="E27" i="7"/>
  <c r="D27" i="7"/>
  <c r="H26" i="7"/>
  <c r="G26" i="7"/>
  <c r="F26" i="7"/>
  <c r="E26" i="7"/>
  <c r="D26" i="7"/>
  <c r="H25" i="7"/>
  <c r="G25" i="7"/>
  <c r="F25" i="7"/>
  <c r="E25" i="7"/>
  <c r="D25" i="7"/>
  <c r="H18" i="7"/>
  <c r="G18" i="7"/>
  <c r="F18" i="7"/>
  <c r="G17" i="7"/>
  <c r="F17" i="7"/>
  <c r="E17" i="7"/>
  <c r="D17" i="7"/>
  <c r="G16" i="7"/>
  <c r="F16" i="7"/>
  <c r="E16" i="7"/>
  <c r="D16" i="7"/>
  <c r="G15" i="7"/>
  <c r="F15" i="7"/>
  <c r="E15" i="7"/>
  <c r="H14" i="7"/>
  <c r="G14" i="7"/>
  <c r="F14" i="7"/>
  <c r="E14" i="7"/>
  <c r="H13" i="7"/>
  <c r="G13" i="7"/>
  <c r="F13" i="7"/>
  <c r="E13" i="7"/>
  <c r="G12" i="7"/>
  <c r="F12" i="7"/>
  <c r="E12" i="7"/>
  <c r="D12" i="7"/>
  <c r="H11" i="7"/>
  <c r="G11" i="7"/>
  <c r="F11" i="7"/>
  <c r="E11" i="7"/>
  <c r="D11" i="7"/>
  <c r="H10" i="7"/>
  <c r="G10" i="7"/>
  <c r="G56" i="12" s="1"/>
  <c r="F10" i="7"/>
  <c r="E10" i="7"/>
  <c r="D68" i="12" s="1"/>
  <c r="F68" i="12" s="1"/>
  <c r="D10" i="7"/>
  <c r="D29" i="7" s="1"/>
  <c r="H35" i="6"/>
  <c r="G35" i="6"/>
  <c r="F35" i="6"/>
  <c r="E35" i="6"/>
  <c r="H34" i="6"/>
  <c r="H36" i="6" s="1"/>
  <c r="G34" i="6"/>
  <c r="G36" i="6" s="1"/>
  <c r="F34" i="6"/>
  <c r="F36" i="6" s="1"/>
  <c r="E34" i="6"/>
  <c r="E36" i="6" s="1"/>
  <c r="G29" i="6"/>
  <c r="G27" i="6"/>
  <c r="F27" i="6"/>
  <c r="E27" i="6"/>
  <c r="D27" i="6"/>
  <c r="G26" i="6"/>
  <c r="F26" i="6"/>
  <c r="E26" i="6"/>
  <c r="D26" i="6"/>
  <c r="H25" i="6"/>
  <c r="G25" i="6"/>
  <c r="F25" i="6"/>
  <c r="E25" i="6"/>
  <c r="H24" i="6"/>
  <c r="G24" i="6"/>
  <c r="F24" i="6"/>
  <c r="E24" i="6"/>
  <c r="G23" i="6"/>
  <c r="F23" i="6"/>
  <c r="E23" i="6"/>
  <c r="H20" i="6"/>
  <c r="G20" i="6"/>
  <c r="F20" i="6"/>
  <c r="E20" i="6"/>
  <c r="D20" i="6"/>
  <c r="H13" i="6"/>
  <c r="H12" i="6"/>
  <c r="G12" i="6"/>
  <c r="F12" i="6"/>
  <c r="E12" i="6"/>
  <c r="D12" i="6"/>
  <c r="H11" i="6"/>
  <c r="H29" i="6" s="1"/>
  <c r="G11" i="6"/>
  <c r="F11" i="6"/>
  <c r="E11" i="6"/>
  <c r="D11" i="6"/>
  <c r="E34" i="5"/>
  <c r="D34" i="5"/>
  <c r="E33" i="5"/>
  <c r="D33" i="5"/>
  <c r="E30" i="5"/>
  <c r="E31" i="5" s="1"/>
  <c r="D30" i="5"/>
  <c r="D31" i="5" s="1"/>
  <c r="E21" i="5"/>
  <c r="E22" i="5" s="1"/>
  <c r="D21" i="5"/>
  <c r="D22" i="5" s="1"/>
  <c r="E20" i="5"/>
  <c r="D20" i="5"/>
  <c r="E19" i="5"/>
  <c r="D19" i="5"/>
  <c r="E15" i="5"/>
  <c r="D15" i="5"/>
  <c r="E13" i="5"/>
  <c r="D13" i="5"/>
  <c r="E12" i="5"/>
  <c r="D12" i="5"/>
  <c r="E11" i="5"/>
  <c r="D11" i="5"/>
  <c r="E8" i="5"/>
  <c r="D8" i="5"/>
  <c r="E7" i="5"/>
  <c r="D7" i="5"/>
  <c r="D23" i="4"/>
  <c r="D14" i="4"/>
  <c r="D34" i="3"/>
  <c r="D32" i="3"/>
  <c r="I31" i="3"/>
  <c r="H31" i="3"/>
  <c r="G31" i="3"/>
  <c r="F31" i="3"/>
  <c r="E31" i="3"/>
  <c r="D31" i="3"/>
  <c r="D26" i="3"/>
  <c r="D25" i="3"/>
  <c r="D24" i="3"/>
  <c r="I21" i="3"/>
  <c r="H21" i="3"/>
  <c r="G21" i="3"/>
  <c r="F21" i="3"/>
  <c r="E21" i="3"/>
  <c r="I20" i="3"/>
  <c r="H20" i="3"/>
  <c r="G20" i="3"/>
  <c r="F20" i="3"/>
  <c r="E20" i="3"/>
  <c r="I19" i="3"/>
  <c r="H19" i="3"/>
  <c r="G19" i="3"/>
  <c r="F19" i="3"/>
  <c r="E19" i="3"/>
  <c r="D19" i="3"/>
  <c r="I15" i="3"/>
  <c r="H15" i="3"/>
  <c r="G15" i="3"/>
  <c r="F15" i="3"/>
  <c r="E15" i="3"/>
  <c r="D12" i="3"/>
  <c r="I11" i="3"/>
  <c r="H11" i="3"/>
  <c r="G11" i="3"/>
  <c r="F11" i="3"/>
  <c r="E11" i="3"/>
  <c r="D11" i="3"/>
  <c r="I9" i="3"/>
  <c r="H9" i="3"/>
  <c r="G9" i="3"/>
  <c r="F9" i="3"/>
  <c r="E9" i="3"/>
  <c r="I8" i="3"/>
  <c r="H8" i="3"/>
  <c r="G8" i="3"/>
  <c r="F8" i="3"/>
  <c r="E8" i="3"/>
  <c r="D8" i="3"/>
  <c r="D7" i="3"/>
  <c r="E7" i="3" s="1"/>
  <c r="D37" i="2"/>
  <c r="D38" i="2" s="1"/>
  <c r="H25" i="2"/>
  <c r="G25" i="2"/>
  <c r="F25" i="2"/>
  <c r="E25" i="2"/>
  <c r="D25" i="2"/>
  <c r="D17" i="1"/>
  <c r="G12" i="1"/>
  <c r="G10" i="1"/>
  <c r="H9" i="1"/>
  <c r="H8" i="1"/>
  <c r="G8" i="1"/>
  <c r="F8" i="1"/>
  <c r="E8" i="1"/>
  <c r="D8" i="1"/>
  <c r="F24" i="11" l="1"/>
  <c r="E24" i="11"/>
  <c r="D25" i="11"/>
  <c r="E25" i="11"/>
  <c r="D23" i="3"/>
  <c r="H25" i="11"/>
  <c r="D21" i="3" s="1"/>
  <c r="F25" i="11"/>
  <c r="H24" i="11"/>
  <c r="D20" i="3" s="1"/>
  <c r="D31" i="7"/>
  <c r="D32" i="7" s="1"/>
  <c r="D57" i="12"/>
  <c r="D30" i="8"/>
  <c r="E39" i="8"/>
  <c r="E10" i="1"/>
  <c r="F39" i="8"/>
  <c r="F10" i="1"/>
  <c r="F38" i="8"/>
  <c r="F11" i="1" s="1"/>
  <c r="G57" i="9"/>
  <c r="G49" i="12" s="1"/>
  <c r="D16" i="5"/>
  <c r="D26" i="5" s="1"/>
  <c r="D35" i="5" s="1"/>
  <c r="D25" i="5"/>
  <c r="H30" i="8"/>
  <c r="H29" i="8"/>
  <c r="H57" i="12"/>
  <c r="H31" i="7"/>
  <c r="H32" i="7" s="1"/>
  <c r="D64" i="12"/>
  <c r="F64" i="12" s="1"/>
  <c r="F7" i="11"/>
  <c r="F50" i="12"/>
  <c r="E16" i="5"/>
  <c r="E26" i="5" s="1"/>
  <c r="E63" i="9"/>
  <c r="E30" i="11" s="1"/>
  <c r="E17" i="1" s="1"/>
  <c r="E28" i="11"/>
  <c r="G7" i="11"/>
  <c r="G50" i="12"/>
  <c r="D29" i="8"/>
  <c r="D24" i="5"/>
  <c r="D23" i="5"/>
  <c r="D39" i="8"/>
  <c r="D10" i="1"/>
  <c r="D57" i="9"/>
  <c r="D10" i="3"/>
  <c r="H38" i="8"/>
  <c r="H39" i="8"/>
  <c r="H10" i="1"/>
  <c r="F73" i="10"/>
  <c r="F53" i="12" s="1"/>
  <c r="D38" i="8"/>
  <c r="D11" i="1" s="1"/>
  <c r="G73" i="10"/>
  <c r="G53" i="12" s="1"/>
  <c r="E38" i="8"/>
  <c r="E11" i="1" s="1"/>
  <c r="H7" i="11"/>
  <c r="H50" i="12"/>
  <c r="E57" i="12"/>
  <c r="E30" i="8"/>
  <c r="E29" i="8"/>
  <c r="E24" i="5"/>
  <c r="D45" i="2" s="1"/>
  <c r="E23" i="5"/>
  <c r="D43" i="2"/>
  <c r="D44" i="2" s="1"/>
  <c r="D46" i="2" s="1"/>
  <c r="D21" i="4"/>
  <c r="F57" i="12"/>
  <c r="F30" i="8"/>
  <c r="F29" i="8"/>
  <c r="D50" i="12"/>
  <c r="J50" i="12" s="1"/>
  <c r="D73" i="10"/>
  <c r="D53" i="12" s="1"/>
  <c r="J53" i="12" s="1"/>
  <c r="G57" i="12"/>
  <c r="G30" i="8"/>
  <c r="G29" i="8"/>
  <c r="E73" i="10"/>
  <c r="E53" i="12" s="1"/>
  <c r="D67" i="12"/>
  <c r="F67" i="12" s="1"/>
  <c r="E50" i="12"/>
  <c r="G25" i="11"/>
  <c r="F28" i="11"/>
  <c r="F63" i="9"/>
  <c r="F30" i="11" s="1"/>
  <c r="F17" i="1" s="1"/>
  <c r="H55" i="7"/>
  <c r="G63" i="9"/>
  <c r="G30" i="11" s="1"/>
  <c r="G17" i="1" s="1"/>
  <c r="E19" i="11"/>
  <c r="E20" i="11" s="1"/>
  <c r="J56" i="12"/>
  <c r="E22" i="3"/>
  <c r="E23" i="3" s="1"/>
  <c r="D29" i="6"/>
  <c r="D13" i="6"/>
  <c r="H27" i="6"/>
  <c r="H63" i="9"/>
  <c r="H30" i="11" s="1"/>
  <c r="H17" i="1" s="1"/>
  <c r="F19" i="11"/>
  <c r="F20" i="11" s="1"/>
  <c r="F22" i="3"/>
  <c r="E29" i="6"/>
  <c r="E28" i="6"/>
  <c r="E13" i="6"/>
  <c r="H23" i="6"/>
  <c r="D28" i="6"/>
  <c r="G19" i="11"/>
  <c r="G22" i="3"/>
  <c r="F29" i="6"/>
  <c r="F13" i="6"/>
  <c r="F28" i="6"/>
  <c r="H19" i="11"/>
  <c r="H20" i="11" s="1"/>
  <c r="D28" i="3" s="1"/>
  <c r="D35" i="3" s="1"/>
  <c r="G28" i="11"/>
  <c r="J52" i="12"/>
  <c r="H22" i="3"/>
  <c r="G13" i="6"/>
  <c r="G28" i="6"/>
  <c r="D31" i="9"/>
  <c r="D19" i="11"/>
  <c r="D24" i="11"/>
  <c r="H28" i="11"/>
  <c r="H15" i="7"/>
  <c r="H27" i="7"/>
  <c r="H12" i="7"/>
  <c r="H56" i="12"/>
  <c r="H17" i="7"/>
  <c r="G55" i="7"/>
  <c r="H26" i="6"/>
  <c r="H28" i="6"/>
  <c r="E31" i="9"/>
  <c r="H57" i="9"/>
  <c r="H49" i="12" s="1"/>
  <c r="H16" i="7"/>
  <c r="E32" i="3"/>
  <c r="E24" i="3"/>
  <c r="E10" i="3"/>
  <c r="E13" i="3" s="1"/>
  <c r="E12" i="3"/>
  <c r="E34" i="3" s="1"/>
  <c r="D27" i="3"/>
  <c r="F50" i="7"/>
  <c r="G24" i="11"/>
  <c r="F7" i="3"/>
  <c r="G50" i="7"/>
  <c r="J54" i="12"/>
  <c r="D63" i="12"/>
  <c r="F63" i="12" s="1"/>
  <c r="H50" i="7"/>
  <c r="J46" i="12"/>
  <c r="D18" i="7"/>
  <c r="E18" i="7"/>
  <c r="E26" i="3" l="1"/>
  <c r="E25" i="3"/>
  <c r="F40" i="8"/>
  <c r="F12" i="1"/>
  <c r="D13" i="3"/>
  <c r="H40" i="8"/>
  <c r="D14" i="3" s="1"/>
  <c r="H12" i="1"/>
  <c r="F31" i="8"/>
  <c r="F47" i="12"/>
  <c r="F13" i="1"/>
  <c r="H9" i="11"/>
  <c r="H10" i="11" s="1"/>
  <c r="H14" i="1"/>
  <c r="D15" i="3"/>
  <c r="D40" i="2"/>
  <c r="D41" i="2" s="1"/>
  <c r="D48" i="2" s="1"/>
  <c r="G12" i="11"/>
  <c r="H12" i="11"/>
  <c r="E40" i="8"/>
  <c r="E12" i="1"/>
  <c r="G14" i="1"/>
  <c r="G9" i="11"/>
  <c r="G10" i="11" s="1"/>
  <c r="D47" i="12"/>
  <c r="D13" i="1"/>
  <c r="F12" i="11"/>
  <c r="E48" i="12"/>
  <c r="D66" i="12"/>
  <c r="F66" i="12" s="1"/>
  <c r="E49" i="12"/>
  <c r="E49" i="7"/>
  <c r="E50" i="7" s="1"/>
  <c r="H11" i="1"/>
  <c r="D9" i="3"/>
  <c r="H47" i="12"/>
  <c r="H31" i="8"/>
  <c r="H13" i="1"/>
  <c r="D12" i="1"/>
  <c r="D40" i="8"/>
  <c r="D47" i="2"/>
  <c r="F23" i="3"/>
  <c r="F12" i="3"/>
  <c r="F34" i="3" s="1"/>
  <c r="G7" i="3"/>
  <c r="F24" i="3"/>
  <c r="F10" i="3"/>
  <c r="F32" i="3"/>
  <c r="G20" i="11"/>
  <c r="E9" i="11"/>
  <c r="E10" i="11" s="1"/>
  <c r="E12" i="11" s="1"/>
  <c r="E14" i="1"/>
  <c r="E47" i="12"/>
  <c r="E31" i="8"/>
  <c r="E13" i="1"/>
  <c r="D9" i="11"/>
  <c r="D10" i="11" s="1"/>
  <c r="D12" i="11" s="1"/>
  <c r="D14" i="1"/>
  <c r="E16" i="3"/>
  <c r="E33" i="3" s="1"/>
  <c r="E14" i="3"/>
  <c r="G31" i="8"/>
  <c r="G47" i="12"/>
  <c r="G13" i="1"/>
  <c r="E25" i="5"/>
  <c r="J57" i="12"/>
  <c r="F9" i="11"/>
  <c r="F10" i="11" s="1"/>
  <c r="F14" i="1"/>
  <c r="D48" i="12"/>
  <c r="J48" i="12" s="1"/>
  <c r="D49" i="12"/>
  <c r="J49" i="12" s="1"/>
  <c r="D49" i="7"/>
  <c r="D50" i="7" s="1"/>
  <c r="D19" i="4"/>
  <c r="H21" i="1" s="1"/>
  <c r="E35" i="5"/>
  <c r="E27" i="3" l="1"/>
  <c r="E28" i="3" s="1"/>
  <c r="E35" i="3" s="1"/>
  <c r="G24" i="2"/>
  <c r="D13" i="4"/>
  <c r="F24" i="2"/>
  <c r="E24" i="2"/>
  <c r="D24" i="2"/>
  <c r="E9" i="4"/>
  <c r="D9" i="4"/>
  <c r="H24" i="2"/>
  <c r="H9" i="4"/>
  <c r="I9" i="4" s="1"/>
  <c r="G9" i="4"/>
  <c r="F9" i="4"/>
  <c r="E36" i="3"/>
  <c r="F26" i="3"/>
  <c r="F25" i="3"/>
  <c r="F27" i="3" s="1"/>
  <c r="F28" i="3" s="1"/>
  <c r="F35" i="3" s="1"/>
  <c r="H15" i="1"/>
  <c r="H13" i="11"/>
  <c r="H16" i="1" s="1"/>
  <c r="D36" i="3"/>
  <c r="D37" i="3" s="1"/>
  <c r="G15" i="1"/>
  <c r="G13" i="11"/>
  <c r="G16" i="1" s="1"/>
  <c r="D15" i="1"/>
  <c r="D13" i="11"/>
  <c r="D16" i="1" s="1"/>
  <c r="E15" i="1"/>
  <c r="E13" i="11"/>
  <c r="E16" i="1" s="1"/>
  <c r="F13" i="11"/>
  <c r="F16" i="1" s="1"/>
  <c r="F15" i="1"/>
  <c r="D16" i="3"/>
  <c r="D33" i="3" s="1"/>
  <c r="F13" i="3"/>
  <c r="J47" i="12"/>
  <c r="G23" i="3"/>
  <c r="G12" i="3"/>
  <c r="G34" i="3" s="1"/>
  <c r="G24" i="3"/>
  <c r="G10" i="3"/>
  <c r="G32" i="3"/>
  <c r="H7" i="3"/>
  <c r="H23" i="3" l="1"/>
  <c r="H12" i="3"/>
  <c r="H34" i="3" s="1"/>
  <c r="H10" i="3"/>
  <c r="H13" i="3" s="1"/>
  <c r="H32" i="3"/>
  <c r="I7" i="3"/>
  <c r="H24" i="3"/>
  <c r="G13" i="3"/>
  <c r="G26" i="3"/>
  <c r="G25" i="3"/>
  <c r="G27" i="3" s="1"/>
  <c r="G28" i="3" s="1"/>
  <c r="G35" i="3" s="1"/>
  <c r="D7" i="4"/>
  <c r="D10" i="4" s="1"/>
  <c r="E37" i="3"/>
  <c r="F14" i="3"/>
  <c r="F16" i="3"/>
  <c r="F33" i="3" s="1"/>
  <c r="F36" i="3" s="1"/>
  <c r="G14" i="3" l="1"/>
  <c r="G16" i="3"/>
  <c r="G33" i="3" s="1"/>
  <c r="G36" i="3" s="1"/>
  <c r="I23" i="3"/>
  <c r="I12" i="3"/>
  <c r="I34" i="3" s="1"/>
  <c r="I10" i="3"/>
  <c r="I13" i="3" s="1"/>
  <c r="I32" i="3"/>
  <c r="I24" i="3"/>
  <c r="E7" i="4"/>
  <c r="E10" i="4" s="1"/>
  <c r="F37" i="3"/>
  <c r="H14" i="3"/>
  <c r="H16" i="3"/>
  <c r="H33" i="3" s="1"/>
  <c r="H26" i="3"/>
  <c r="H25" i="3"/>
  <c r="H27" i="3" s="1"/>
  <c r="H28" i="3" s="1"/>
  <c r="H35" i="3" s="1"/>
  <c r="I14" i="3" l="1"/>
  <c r="I16" i="3"/>
  <c r="I33" i="3" s="1"/>
  <c r="G37" i="3"/>
  <c r="F7" i="4"/>
  <c r="F10" i="4" s="1"/>
  <c r="H36" i="3"/>
  <c r="I26" i="3"/>
  <c r="I25" i="3"/>
  <c r="I27" i="3" l="1"/>
  <c r="I28" i="3" s="1"/>
  <c r="I35" i="3" s="1"/>
  <c r="H37" i="3"/>
  <c r="G7" i="4"/>
  <c r="G10" i="4" s="1"/>
  <c r="I36" i="3"/>
  <c r="D30" i="4" s="1"/>
  <c r="E32" i="4" l="1"/>
  <c r="F31" i="4"/>
  <c r="G30" i="4"/>
  <c r="F33" i="4"/>
  <c r="G33" i="4"/>
  <c r="I37" i="3"/>
  <c r="H7" i="4"/>
  <c r="D32" i="4"/>
  <c r="E31" i="4"/>
  <c r="F30" i="4"/>
  <c r="E30" i="4"/>
  <c r="H30" i="4"/>
  <c r="D33" i="4"/>
  <c r="E33" i="4"/>
  <c r="H32" i="4"/>
  <c r="H33" i="4"/>
  <c r="D34" i="4"/>
  <c r="H34" i="4"/>
  <c r="F32" i="4"/>
  <c r="H31" i="4"/>
  <c r="D31" i="4"/>
  <c r="G31" i="4"/>
  <c r="G32" i="4"/>
  <c r="E34" i="4"/>
  <c r="F34" i="4"/>
  <c r="G34" i="4"/>
  <c r="H10" i="4" l="1"/>
  <c r="D17" i="4" s="1"/>
  <c r="I7" i="4"/>
  <c r="D15" i="4" s="1"/>
  <c r="I10" i="4" s="1"/>
  <c r="D16" i="4" s="1"/>
  <c r="D18" i="4" l="1"/>
  <c r="D20" i="4" l="1"/>
  <c r="H20" i="1"/>
  <c r="D25" i="4"/>
  <c r="H22" i="1" l="1"/>
  <c r="D22" i="4"/>
  <c r="H23" i="1" l="1"/>
  <c r="D24" i="4"/>
</calcChain>
</file>

<file path=xl/sharedStrings.xml><?xml version="1.0" encoding="utf-8"?>
<sst xmlns="http://schemas.openxmlformats.org/spreadsheetml/2006/main" count="967" uniqueCount="680">
  <si>
    <t>Pidilite Industries DCF</t>
  </si>
  <si>
    <t>Complete base case | Actuals through 31 March 2026 | Forecast FY:27–FY:31 | ₹ crore</t>
  </si>
  <si>
    <t>Historical snapshot</t>
  </si>
  <si>
    <t>Metric</t>
  </si>
  <si>
    <t>FY:22</t>
  </si>
  <si>
    <t>FY:23</t>
  </si>
  <si>
    <t>FY:24</t>
  </si>
  <si>
    <t>FY:25</t>
  </si>
  <si>
    <t>FY:26</t>
  </si>
  <si>
    <t>Revenue from operations</t>
  </si>
  <si>
    <t>YoY revenue growth</t>
  </si>
  <si>
    <t>n.a.</t>
  </si>
  <si>
    <t>Operating EBITDA</t>
  </si>
  <si>
    <t>EBITDA margin</t>
  </si>
  <si>
    <t>Operating EBIT</t>
  </si>
  <si>
    <t>Profit for the year</t>
  </si>
  <si>
    <t>Effective tax rate</t>
  </si>
  <si>
    <t>Cash flow-based historical FCFF</t>
  </si>
  <si>
    <t>FCFF margin</t>
  </si>
  <si>
    <t>Net cash and investments (carrying value)</t>
  </si>
  <si>
    <t>DCF status</t>
  </si>
  <si>
    <t>Enterprise value</t>
  </si>
  <si>
    <t>Selected net financial assets</t>
  </si>
  <si>
    <t>Equity value</t>
  </si>
  <si>
    <t>Implied value per share</t>
  </si>
  <si>
    <t>Reason</t>
  </si>
  <si>
    <t>Assumptions</t>
  </si>
  <si>
    <t>Editable base-case operating drivers and market-reference WACC build</t>
  </si>
  <si>
    <t>Model controls</t>
  </si>
  <si>
    <t>Valuation date</t>
  </si>
  <si>
    <t>Currency and scale</t>
  </si>
  <si>
    <t>₹ crore</t>
  </si>
  <si>
    <t>Valuation method</t>
  </si>
  <si>
    <t>FCFF DCF</t>
  </si>
  <si>
    <t>Forecast horizon</t>
  </si>
  <si>
    <t>Terminal value method</t>
  </si>
  <si>
    <t>Perpetuity growth</t>
  </si>
  <si>
    <t>Case selected</t>
  </si>
  <si>
    <t>Base</t>
  </si>
  <si>
    <t>Forecast inputs</t>
  </si>
  <si>
    <t>Driver</t>
  </si>
  <si>
    <t>FY:27</t>
  </si>
  <si>
    <t>FY:28</t>
  </si>
  <si>
    <t>FY:29</t>
  </si>
  <si>
    <t>FY:30</t>
  </si>
  <si>
    <t>FY:31</t>
  </si>
  <si>
    <t>Revenue growth</t>
  </si>
  <si>
    <t>D&amp;A as % of revenue</t>
  </si>
  <si>
    <t>Capex as % of revenue</t>
  </si>
  <si>
    <t>DSO</t>
  </si>
  <si>
    <t>DIO</t>
  </si>
  <si>
    <t>DPO</t>
  </si>
  <si>
    <t>WACC</t>
  </si>
  <si>
    <t>Terminal growth</t>
  </si>
  <si>
    <t>Pale-yellow cells are editable base-case assumptions; forecast and valuation formulas update automatically.</t>
  </si>
  <si>
    <t>WACC and terminal-value build</t>
  </si>
  <si>
    <t>Input</t>
  </si>
  <si>
    <t>Value</t>
  </si>
  <si>
    <t>Source / rationale</t>
  </si>
  <si>
    <t>India 10-year government-bond yield</t>
  </si>
  <si>
    <t>FRED, India long-term government-bond yield, March 2026: 6.84% | https://fred.stlouisfed.org/series/IRLTLT01INM156N</t>
  </si>
  <si>
    <t>India total equity risk premium</t>
  </si>
  <si>
    <t>Damodaran country-risk table, 5 Jan 2026: India total ERP 7.08% | https://pages.stern.nyu.edu/adamodar/New_Home_Page/datafile/ctryprem.html</t>
  </si>
  <si>
    <t>Household-products unlevered beta</t>
  </si>
  <si>
    <t>Damodaran US sector betas, Jan 2026: Household Products unlevered beta 0.72 | https://pages.stern.nyu.edu/~adamodar/New_Home_Page/datafile/Betas.html</t>
  </si>
  <si>
    <t>Specialty-chemicals unlevered beta</t>
  </si>
  <si>
    <t>Damodaran US sector betas, Jan 2026: Specialty Chemicals unlevered beta 0.79 | https://pages.stern.nyu.edu/~adamodar/New_Home_Page/datafile/Betas.html</t>
  </si>
  <si>
    <t>Consumer &amp; Bazaar business mix</t>
  </si>
  <si>
    <t>FY:26 management business review: Consumer &amp; Bazaar represented 81.6% of standalone sales</t>
  </si>
  <si>
    <t>B2B and other business mix</t>
  </si>
  <si>
    <t>FY:26 management business review: B2B represented 18.0%; residual 0.4% included here</t>
  </si>
  <si>
    <t>Selected bottom-up beta</t>
  </si>
  <si>
    <t>Revenue-mix-weighted bottom-up unlevered beta; leverage is immaterial</t>
  </si>
  <si>
    <t>Cost of equity</t>
  </si>
  <si>
    <t>CAPM: risk-free rate plus selected beta multiplied by India total ERP</t>
  </si>
  <si>
    <t>Pre-tax cost of debt</t>
  </si>
  <si>
    <t>Selected within the FY:26 disclosed borrowing-rate range; applied to debt and leases</t>
  </si>
  <si>
    <t>FY:26 consolidated effective tax rate</t>
  </si>
  <si>
    <t>After-tax cost of debt</t>
  </si>
  <si>
    <t>Pre-tax debt cost after the effective-tax shield</t>
  </si>
  <si>
    <t>Market-price reference per share</t>
  </si>
  <si>
    <t>Market reference at 11 Sep 2026; used only for capital weights and comparison</t>
  </si>
  <si>
    <t>Diluted shares (crore)</t>
  </si>
  <si>
    <t>FY:26 reported diluted weighted-average denominator, bonus-adjusted</t>
  </si>
  <si>
    <t>Market equity value</t>
  </si>
  <si>
    <t>Market-price reference multiplied by diluted shares</t>
  </si>
  <si>
    <t>Debt and lease liabilities</t>
  </si>
  <si>
    <t>FY:26 current borrowings and lease liabilities</t>
  </si>
  <si>
    <t>Equity weight</t>
  </si>
  <si>
    <t>Market-value capital weight</t>
  </si>
  <si>
    <t>Debt weight</t>
  </si>
  <si>
    <t>Selected WACC</t>
  </si>
  <si>
    <t>Cost of equity and after-tax cost of debt weighted by market values</t>
  </si>
  <si>
    <t>Base-case perpetual nominal INR growth; test the range on the DCF tab</t>
  </si>
  <si>
    <t>WACC is approximately the cost of equity because Pidilite has very little debt. The later market-price reference has an immaterial effect on the selected capital weights.</t>
  </si>
  <si>
    <t>Base-case FCFF forecast</t>
  </si>
  <si>
    <t>Formula-driven operating forecast | FY:26 actual and FY:27–FY:31 estimates | ₹ crore</t>
  </si>
  <si>
    <t>FY:26A</t>
  </si>
  <si>
    <t>FY:27E</t>
  </si>
  <si>
    <t>FY:28E</t>
  </si>
  <si>
    <t>FY:29E</t>
  </si>
  <si>
    <t>FY:30E</t>
  </si>
  <si>
    <t>FY:31E</t>
  </si>
  <si>
    <t>Operating forecast</t>
  </si>
  <si>
    <t>D&amp;A</t>
  </si>
  <si>
    <t>EBIT margin</t>
  </si>
  <si>
    <t>NOPAT</t>
  </si>
  <si>
    <t>Operating working capital</t>
  </si>
  <si>
    <t>Days sales outstanding</t>
  </si>
  <si>
    <t>Days inventory outstanding</t>
  </si>
  <si>
    <t>Days payable outstanding</t>
  </si>
  <si>
    <t>Direct cost base as % of revenue</t>
  </si>
  <si>
    <t>Direct cost base</t>
  </si>
  <si>
    <t>Trade receivables</t>
  </si>
  <si>
    <t>Inventories</t>
  </si>
  <si>
    <t>Trade payables</t>
  </si>
  <si>
    <t>Core operating net working capital</t>
  </si>
  <si>
    <t>Change in core operating net working capital</t>
  </si>
  <si>
    <t>Free cash flow to firm</t>
  </si>
  <si>
    <t>Capital expenditure as % of revenue</t>
  </si>
  <si>
    <t>Capital expenditure</t>
  </si>
  <si>
    <t>Forecast FCFF</t>
  </si>
  <si>
    <t>FY:26 historical FCFF is cash-flow based. Forecast FCFF uses NOPAT + D&amp;A − capex − change in core operating net working capital.</t>
  </si>
  <si>
    <t>Discounted cash flow valuation</t>
  </si>
  <si>
    <t>Base-case FCFF valuation as at 31 March 2026 | ₹ crore unless stated</t>
  </si>
  <si>
    <t>Terminal</t>
  </si>
  <si>
    <t>Present value of forecast cash flows</t>
  </si>
  <si>
    <t>Discount period</t>
  </si>
  <si>
    <t>Discount factor</t>
  </si>
  <si>
    <t>Present value of FCFF</t>
  </si>
  <si>
    <t>Enterprise-to-equity valuation</t>
  </si>
  <si>
    <t>Linked to WACC build</t>
  </si>
  <si>
    <t>Editable long-term growth</t>
  </si>
  <si>
    <t>Terminal value</t>
  </si>
  <si>
    <t>FY:31 FCFF grown at g and capitalised</t>
  </si>
  <si>
    <t>Present value of terminal value</t>
  </si>
  <si>
    <t>Terminal value discounted five periods</t>
  </si>
  <si>
    <t>Present value of explicit forecast</t>
  </si>
  <si>
    <t>Sum of forecast-period present values</t>
  </si>
  <si>
    <t>Operating-business value</t>
  </si>
  <si>
    <t>Market-adjusted financial assets less debt and leases</t>
  </si>
  <si>
    <t>Enterprise value plus selected net financial assets</t>
  </si>
  <si>
    <t>Bonus-adjusted diluted denominator</t>
  </si>
  <si>
    <t>Base-case DCF output</t>
  </si>
  <si>
    <t>11 Sep 2026 market reference</t>
  </si>
  <si>
    <t>Upside / (downside) to reference</t>
  </si>
  <si>
    <t>DCF value relative to market reference</t>
  </si>
  <si>
    <t>Terminal value as % of enterprise value</t>
  </si>
  <si>
    <t>Sensitivity check; a high share indicates long-duration assumptions</t>
  </si>
  <si>
    <t>Implied value per share sensitivity</t>
  </si>
  <si>
    <t>WACC / terminal growth</t>
  </si>
  <si>
    <t>₹ per share</t>
  </si>
  <si>
    <t>Near base WACC</t>
  </si>
  <si>
    <t>Sensitivity formulas re-discount both the explicit FCFF period and the terminal value at each WACC / growth pair.</t>
  </si>
  <si>
    <t>Important</t>
  </si>
  <si>
    <t>The result is highly sensitive to WACC, terminal growth and sustained margins. Use it as a valuation framework, not as a stand-alone investment recommendation.</t>
  </si>
  <si>
    <t>Valuation bridge</t>
  </si>
  <si>
    <t>FY:25 comparator and FY:26 valuation-date bridge | ₹ crore unless stated</t>
  </si>
  <si>
    <t>Source</t>
  </si>
  <si>
    <t>Valuation treatment</t>
  </si>
  <si>
    <t>Cash, bank balances and investments</t>
  </si>
  <si>
    <t>Cash and cash equivalents</t>
  </si>
  <si>
    <t>Balance sheet</t>
  </si>
  <si>
    <t>Add to equity value</t>
  </si>
  <si>
    <t>Bank balances other than cash equivalents</t>
  </si>
  <si>
    <t>Current quoted investments — carrying value</t>
  </si>
  <si>
    <t>Notes 8–9</t>
  </si>
  <si>
    <t>Use market value below</t>
  </si>
  <si>
    <t>Current unquoted investments — carrying value</t>
  </si>
  <si>
    <t>Carrying value</t>
  </si>
  <si>
    <t>Total current investments</t>
  </si>
  <si>
    <t>Reconciles to balance sheet</t>
  </si>
  <si>
    <t>Non-current investments — carrying value</t>
  </si>
  <si>
    <t>Note 8</t>
  </si>
  <si>
    <t>Carrying value; haircut optional</t>
  </si>
  <si>
    <t>Gross financial assets — carrying value</t>
  </si>
  <si>
    <t>Calculated</t>
  </si>
  <si>
    <t>Book-value reference</t>
  </si>
  <si>
    <t>Current quoted investments — market value</t>
  </si>
  <si>
    <t>Note 9</t>
  </si>
  <si>
    <t>Market value</t>
  </si>
  <si>
    <t>Market-value uplift on current quoted investments</t>
  </si>
  <si>
    <t>Valuation adjustment</t>
  </si>
  <si>
    <t>Gross financial assets — market adjusted</t>
  </si>
  <si>
    <t>Selected gross assets</t>
  </si>
  <si>
    <t>Borrowings and lease liabilities</t>
  </si>
  <si>
    <t>Current borrowings</t>
  </si>
  <si>
    <t>Note 23</t>
  </si>
  <si>
    <t>Subtract from enterprise value</t>
  </si>
  <si>
    <t>Non-current lease liabilities</t>
  </si>
  <si>
    <t>Balance sheet / Note 53</t>
  </si>
  <si>
    <t>Current lease liabilities</t>
  </si>
  <si>
    <t>Total lease liabilities</t>
  </si>
  <si>
    <t>Debt-like item</t>
  </si>
  <si>
    <t>Lease-note closing-balance reconciliation</t>
  </si>
  <si>
    <t>Note 53</t>
  </si>
  <si>
    <t>Check; should be zero</t>
  </si>
  <si>
    <t>Total borrowings and lease liabilities</t>
  </si>
  <si>
    <t>Total deduction</t>
  </si>
  <si>
    <t>Net financial assets — carrying value</t>
  </si>
  <si>
    <t>Selected net financial assets — market adjusted</t>
  </si>
  <si>
    <t>Selected equity bridge adjustment</t>
  </si>
  <si>
    <t>Share-count bridge</t>
  </si>
  <si>
    <t>Closing paid-up shares (crore shares)</t>
  </si>
  <si>
    <t>Note 21</t>
  </si>
  <si>
    <t>Year-end basic shares</t>
  </si>
  <si>
    <t>Equity share capital (₹ crore; face value ₹1)</t>
  </si>
  <si>
    <t>Rounding check</t>
  </si>
  <si>
    <t>Share-capital rounding reconciliation</t>
  </si>
  <si>
    <t>Within ₹0.01 crore</t>
  </si>
  <si>
    <t>Gross ESOP shares reserved (crore shares)</t>
  </si>
  <si>
    <t>Reference only; not all options are incremental</t>
  </si>
  <si>
    <t>Reported diluted weighted-average shares (derived, crore)</t>
  </si>
  <si>
    <t>P&amp;L</t>
  </si>
  <si>
    <t>Selected per-share denominator (crore shares)</t>
  </si>
  <si>
    <t>Selected</t>
  </si>
  <si>
    <t>Used for future implied value per share</t>
  </si>
  <si>
    <t>Selected bridge adjustment per diluted share (₹)</t>
  </si>
  <si>
    <t>Financial-assets contribution per share</t>
  </si>
  <si>
    <t>Method note</t>
  </si>
  <si>
    <t>Current quoted investments use the reported market value. Current unquoted and non-current investments remain at carrying value; apply a haircut only if later research supports it. FY:25 EPS and diluted shares are restated for the FY:26 1:1 bonus issue.</t>
  </si>
  <si>
    <t>Historical revenue bridge</t>
  </si>
  <si>
    <t>Revenue-note detail and forecast calibration | ₹ crore</t>
  </si>
  <si>
    <t>Revenue from operations bridge</t>
  </si>
  <si>
    <t>Sale of products</t>
  </si>
  <si>
    <t>Sale of services</t>
  </si>
  <si>
    <t>Financial-services income</t>
  </si>
  <si>
    <t>Other operating revenue</t>
  </si>
  <si>
    <t>P&amp;L revenue from operations</t>
  </si>
  <si>
    <t>Revenue-note reconciliation</t>
  </si>
  <si>
    <t>Scrap sales</t>
  </si>
  <si>
    <t>Export incentives</t>
  </si>
  <si>
    <t>GST / excise refund</t>
  </si>
  <si>
    <t>Others</t>
  </si>
  <si>
    <t>Revenue mix and growth</t>
  </si>
  <si>
    <t>Product-revenue growth</t>
  </si>
  <si>
    <t>Service-revenue growth</t>
  </si>
  <si>
    <t>Products as % of revenue</t>
  </si>
  <si>
    <t>Services as % of revenue</t>
  </si>
  <si>
    <t>Other operating revenue as % of revenue</t>
  </si>
  <si>
    <t>Financial-services income as % of revenue</t>
  </si>
  <si>
    <t>Product contracted-price bridge (comparable from FY:23)</t>
  </si>
  <si>
    <t>Contracted price</t>
  </si>
  <si>
    <t>Less: variable-consideration components</t>
  </si>
  <si>
    <t>Revenue recognised from sale of products</t>
  </si>
  <si>
    <t>Variable consideration as % of contracted price</t>
  </si>
  <si>
    <t>Bridge check vs sale of products</t>
  </si>
  <si>
    <t>Historical calibration takeaways</t>
  </si>
  <si>
    <t>Products contribute about 97% of revenue, so product growth should anchor the forecast.</t>
  </si>
  <si>
    <t>FY:26 growth was product-led: products grew 11.5%, while services declined 4.6%.</t>
  </si>
  <si>
    <t>Other operating revenue is below 0.5% of revenue and is not a core valuation driver.</t>
  </si>
  <si>
    <t>Five-year consolidated segment trends are available in the Segment tab.</t>
  </si>
  <si>
    <t>FY:22 contracted-price disclosure reconciles total contract revenue rather than product revenue; it is excluded from the comparable product bridge.</t>
  </si>
  <si>
    <t>Consolidated segment analysis</t>
  </si>
  <si>
    <t>Five-year consolidated segment economics plus FY:26 management category indicators | ₹ crore</t>
  </si>
  <si>
    <t>Consolidated segment net revenue</t>
  </si>
  <si>
    <t>Consumer &amp; Bazaar</t>
  </si>
  <si>
    <t>Business to Business</t>
  </si>
  <si>
    <t>Total segment net revenue</t>
  </si>
  <si>
    <t>Segment revenue reconciliation</t>
  </si>
  <si>
    <t>Consumer &amp; Bazaar growth</t>
  </si>
  <si>
    <t>Business to Business growth</t>
  </si>
  <si>
    <t>Total revenue growth</t>
  </si>
  <si>
    <t>Consumer &amp; Bazaar revenue mix</t>
  </si>
  <si>
    <t>Business to Business revenue mix</t>
  </si>
  <si>
    <t>Others revenue mix</t>
  </si>
  <si>
    <t>Segment profitability</t>
  </si>
  <si>
    <t>Consumer &amp; Bazaar segment result</t>
  </si>
  <si>
    <t>Business to Business segment result</t>
  </si>
  <si>
    <t>Others segment result</t>
  </si>
  <si>
    <t>Total segment result</t>
  </si>
  <si>
    <t>Consumer &amp; Bazaar result margin</t>
  </si>
  <si>
    <t>Business to Business result margin</t>
  </si>
  <si>
    <t>Total segment result margin</t>
  </si>
  <si>
    <t>Operating income</t>
  </si>
  <si>
    <t>Operating income margin</t>
  </si>
  <si>
    <t>Profit before tax</t>
  </si>
  <si>
    <t>P&amp;L profit before tax</t>
  </si>
  <si>
    <t>Segment-note PBT reconciliation</t>
  </si>
  <si>
    <t>Revenue by geography</t>
  </si>
  <si>
    <t>India</t>
  </si>
  <si>
    <t>Outside India</t>
  </si>
  <si>
    <t>Total geographic revenue</t>
  </si>
  <si>
    <t>India revenue growth</t>
  </si>
  <si>
    <t>Outside-India revenue growth</t>
  </si>
  <si>
    <t>Outside India revenue share</t>
  </si>
  <si>
    <t>Capital intensity and statement checks</t>
  </si>
  <si>
    <t>Consumer &amp; Bazaar segment assets</t>
  </si>
  <si>
    <t>Business to Business segment assets</t>
  </si>
  <si>
    <t>Others segment assets</t>
  </si>
  <si>
    <t>Total segment assets</t>
  </si>
  <si>
    <t>Unallocable assets</t>
  </si>
  <si>
    <t>Total assets</t>
  </si>
  <si>
    <t>Balance-sheet total assets</t>
  </si>
  <si>
    <t>Segment-note total-assets reconciliation</t>
  </si>
  <si>
    <t>Total segment liabilities</t>
  </si>
  <si>
    <t>Unallocable liabilities</t>
  </si>
  <si>
    <t>Total liabilities</t>
  </si>
  <si>
    <t>Balance-sheet total liabilities</t>
  </si>
  <si>
    <t>Segment-note total-liabilities reconciliation</t>
  </si>
  <si>
    <t>Allocated D&amp;A: Consumer &amp; Bazaar</t>
  </si>
  <si>
    <t>Allocated D&amp;A: Business to Business</t>
  </si>
  <si>
    <t>Total allocated D&amp;A</t>
  </si>
  <si>
    <t>Unallocated D&amp;A</t>
  </si>
  <si>
    <t>Total D&amp;A</t>
  </si>
  <si>
    <t>P&amp;L D&amp;A</t>
  </si>
  <si>
    <t>Segment-note D&amp;A reconciliation</t>
  </si>
  <si>
    <t>Total capital expenditure per segment note</t>
  </si>
  <si>
    <t>Capital expenditure per cash-flow statement</t>
  </si>
  <si>
    <t>Capex scope / timing difference</t>
  </si>
  <si>
    <t>Management category indicators (standalone Company sales, FY:26)</t>
  </si>
  <si>
    <t>Category</t>
  </si>
  <si>
    <t>Share of sales</t>
  </si>
  <si>
    <t>YoY growth</t>
  </si>
  <si>
    <t>Scope</t>
  </si>
  <si>
    <t>Forecast relevance</t>
  </si>
  <si>
    <t>Source basis</t>
  </si>
  <si>
    <t>Branded Consumer &amp; Bazaar</t>
  </si>
  <si>
    <t>Standalone Company</t>
  </si>
  <si>
    <t>Core consumer demand</t>
  </si>
  <si>
    <t>Management business review</t>
  </si>
  <si>
    <t>Adhesives &amp; Sealants</t>
  </si>
  <si>
    <t>C&amp;B subcategory</t>
  </si>
  <si>
    <t>Largest category</t>
  </si>
  <si>
    <t>Construction &amp; Paint Chemicals</t>
  </si>
  <si>
    <t>Fastest disclosed growth</t>
  </si>
  <si>
    <t>Art &amp; Craft Materials etc.</t>
  </si>
  <si>
    <t>Smaller consumer category</t>
  </si>
  <si>
    <t>Core industrial demand</t>
  </si>
  <si>
    <t>Industrial Adhesives</t>
  </si>
  <si>
    <t>B2B subcategory</t>
  </si>
  <si>
    <t>Moderate growth</t>
  </si>
  <si>
    <t>Industrial Resins / Project Chemicals</t>
  </si>
  <si>
    <t>Strong growth</t>
  </si>
  <si>
    <t>Pigments &amp; Preparations</t>
  </si>
  <si>
    <t>Contracting category</t>
  </si>
  <si>
    <t>Forecast calibration</t>
  </si>
  <si>
    <t>FY:22–FY:26 C&amp;B and B2B net-revenue CAGR was approximately 10.3% and 9.8%, respectively.</t>
  </si>
  <si>
    <t>FY:26 C&amp;B and B2B net revenue grew 11.3% and 10.5%, respectively.</t>
  </si>
  <si>
    <t>C&amp;B and B2B result margins expanded from 24.9% and 7.3% in FY:22 to 30.8% and 17.4% in FY:26.</t>
  </si>
  <si>
    <t>Outside-India revenue share declined from 14.7% in FY:22 to 10.0% in FY:26.</t>
  </si>
  <si>
    <t>UVG is not numerically disclosed; no volume / price split is inferred and standalone category growth remains directional.</t>
  </si>
  <si>
    <t>Segment-note capex differs from cash-flow capex because the disclosures use different scope and/or timing; FCFF continues to use cash-flow capex.</t>
  </si>
  <si>
    <t>Consolidated profit and loss</t>
  </si>
  <si>
    <t>Historical actuals | ₹ crore | Expenses use negative signs</t>
  </si>
  <si>
    <t>Particulars</t>
  </si>
  <si>
    <t>Income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</si>
  <si>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</si>
  <si>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</si>
  <si>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</si>
  <si>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</si>
  <si>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</si>
  <si>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goods, stock-in-trade and WIP</t>
  </si>
  <si>
    <t>Employee benefits expense</t>
  </si>
  <si>
    <t>Finance costs</t>
  </si>
  <si>
    <t>Depreciation, amortisation and impairment</t>
  </si>
  <si>
    <t>Other expenses</t>
  </si>
  <si>
    <t>Total expenses</t>
  </si>
  <si>
    <t>Profit before share of associates/JV, exceptional items and tax</t>
  </si>
  <si>
    <t>Share of profit/(loss) in associates and JV (net of tax)</t>
  </si>
  <si>
    <t>Profit before exceptional items and tax</t>
  </si>
  <si>
    <t>Exceptional items</t>
  </si>
  <si>
    <t>Tax and profit</t>
  </si>
  <si>
    <t>Current tax</t>
  </si>
  <si>
    <t>Deferred tax (net)</t>
  </si>
  <si>
    <t>Total tax expense</t>
  </si>
  <si>
    <t>YoY profit growth</t>
  </si>
  <si>
    <t>Attributable to owners of the company</t>
  </si>
  <si>
    <t>Attributable to non-controlling interests</t>
  </si>
  <si>
    <t>Basic EPS</t>
  </si>
  <si>
    <t>Diluted EPS</t>
  </si>
  <si>
    <t>Operating metrics</t>
  </si>
  <si>
    <t>EPS comparability: FY:25–FY:26 reflect the FY:26 bonus-share restatement; FY:22–FY:24 are shown as originally reported.</t>
  </si>
  <si>
    <t>Consolidated balance sheet</t>
  </si>
  <si>
    <t>Historical actuals | ₹ crore</t>
  </si>
  <si>
    <t>Assets</t>
  </si>
  <si>
    <t>Non-current assets</t>
  </si>
  <si>
    <t>Property, plant and equipment</t>
  </si>
  <si>
    <t>Right-of-use assets</t>
  </si>
  <si>
    <t>Capital work-in-progress</t>
  </si>
  <si>
    <t>Goodwill</t>
  </si>
  <si>
    <t>Other intangible assets</t>
  </si>
  <si>
    <t>Investments accounted for using equity method</t>
  </si>
  <si>
    <t>Non-current investments</t>
  </si>
  <si>
    <t>Non-current loans</t>
  </si>
  <si>
    <t>Other non-current financial assets</t>
  </si>
  <si>
    <t>Deferred tax assets (net)</t>
  </si>
  <si>
    <t>Income tax assets (net)</t>
  </si>
  <si>
    <t>Other non-current assets</t>
  </si>
  <si>
    <t>Total non-current assets</t>
  </si>
  <si>
    <t>Current assets</t>
  </si>
  <si>
    <t>Current investments</t>
  </si>
  <si>
    <t>Bank balances other than cash and cash equivalents</t>
  </si>
  <si>
    <t>Current loans</t>
  </si>
  <si>
    <t>Other current financial assets</t>
  </si>
  <si>
    <t>Other current assets, current tax assets and assets held for sale</t>
  </si>
  <si>
    <t>Total current assets</t>
  </si>
  <si>
    <t>Equity and liabilities</t>
  </si>
  <si>
    <t>Equity</t>
  </si>
  <si>
    <t>Equity share capital</t>
  </si>
  <si>
    <t>Other equity</t>
  </si>
  <si>
    <t>Equity attributable to owners</t>
  </si>
  <si>
    <t>Non-controlling interests</t>
  </si>
  <si>
    <t>Total equity</t>
  </si>
  <si>
    <t>Non-current liabilities</t>
  </si>
  <si>
    <t>Non-current borrowings and lease liabilities</t>
  </si>
  <si>
    <t>Other financial liabilities</t>
  </si>
  <si>
    <t>Provisions</t>
  </si>
  <si>
    <t>Deferred tax liabilities (net)</t>
  </si>
  <si>
    <t>Total non-current liabilities</t>
  </si>
  <si>
    <t>Current liabilities</t>
  </si>
  <si>
    <t>Borrowings</t>
  </si>
  <si>
    <t>Lease liabilities</t>
  </si>
  <si>
    <t>Trade payables: MSME</t>
  </si>
  <si>
    <t>Trade payables: other</t>
  </si>
  <si>
    <t>Other current liabilities</t>
  </si>
  <si>
    <t>Current tax liabilities (net)</t>
  </si>
  <si>
    <t>Total current liabilities</t>
  </si>
  <si>
    <t>Total equity and liabilities</t>
  </si>
  <si>
    <t>Valuation bridge inputs</t>
  </si>
  <si>
    <t>Total trade payables</t>
  </si>
  <si>
    <t>Cash, bank balances and investments — carrying value</t>
  </si>
  <si>
    <t>Net cash and investments — carrying value</t>
  </si>
  <si>
    <t>Consolidated cash flow</t>
  </si>
  <si>
    <t>Historical actuals | ₹ crore | Cash inflows positive, outflows negative</t>
  </si>
  <si>
    <t>Cash flow from operating activities</t>
  </si>
  <si>
    <t>Adjustments</t>
  </si>
  <si>
    <t>Share of loss/(profit) in associates and JV (net of tax)</t>
  </si>
  <si>
    <t>Interest income</t>
  </si>
  <si>
    <t>Dividend income</t>
  </si>
  <si>
    <t>Dividend from associate</t>
  </si>
  <si>
    <t>Loss/(profit) on disposal of PPE (net)</t>
  </si>
  <si>
    <t>Net gain on financial assets designated at FVTPL</t>
  </si>
  <si>
    <t>Allowance for doubtful debts and advances (net)</t>
  </si>
  <si>
    <t>Liabilities no longer required written back</t>
  </si>
  <si>
    <t>Provision for write-down of inventories</t>
  </si>
  <si>
    <t>Unrealised foreign-exchange loss/(gain)</t>
  </si>
  <si>
    <t>Provision for employee benefits</t>
  </si>
  <si>
    <t>Provision/(write-back) of warranties and others</t>
  </si>
  <si>
    <t>Other provisions</t>
  </si>
  <si>
    <t>Equity-settled share-based payments</t>
  </si>
  <si>
    <t>Operating cash flow before working-capital changes</t>
  </si>
  <si>
    <t>Working capital changes</t>
  </si>
  <si>
    <t>Other non-current non-financial assets</t>
  </si>
  <si>
    <t>Other current non-financial assets</t>
  </si>
  <si>
    <t>Other current financial liabilities</t>
  </si>
  <si>
    <t>Other non-current financial liabilities</t>
  </si>
  <si>
    <t>Other current non-financial liabilities</t>
  </si>
  <si>
    <t>Cash generated from operations</t>
  </si>
  <si>
    <t>Income tax paid (net of refunds and interest on refund)</t>
  </si>
  <si>
    <t>Net cash flow from operating activities</t>
  </si>
  <si>
    <t>Cash flow from investing activities</t>
  </si>
  <si>
    <t>Capital expenditure: PPE, ROU assets, intangibles and CWIP</t>
  </si>
  <si>
    <t>Proceeds from disposal of PPE and other intangible assets</t>
  </si>
  <si>
    <t>Cash (outflow)/inflow on investments in associates and JV</t>
  </si>
  <si>
    <t>Consideration paid for business combination</t>
  </si>
  <si>
    <t>Proceeds from disposal of subsidiary</t>
  </si>
  <si>
    <t>Purchases of investments</t>
  </si>
  <si>
    <t>Proceeds from sale of investments</t>
  </si>
  <si>
    <t>Investment in/(redemption of) bank deposits</t>
  </si>
  <si>
    <t>Decrease/(increase) in other bank balances</t>
  </si>
  <si>
    <t>Interest received</t>
  </si>
  <si>
    <t>Loans given to associate</t>
  </si>
  <si>
    <t>Dividend received from associates</t>
  </si>
  <si>
    <t>Net cash flow from investing activities</t>
  </si>
  <si>
    <t>Cash flow from financing activities</t>
  </si>
  <si>
    <t>Proceeds from exercise/issue of share options</t>
  </si>
  <si>
    <t>Expenses on bonus issue of equity shares</t>
  </si>
  <si>
    <t>Principal payment of lease liabilities</t>
  </si>
  <si>
    <t>Interest payment on lease liabilities</t>
  </si>
  <si>
    <t>Net (decrease)/increase in current borrowings</t>
  </si>
  <si>
    <t>Net (decrease)/increase in non-current borrowings</t>
  </si>
  <si>
    <t>Transactions with non-controlling shareholders (net)</t>
  </si>
  <si>
    <t>Final or combined dividend paid</t>
  </si>
  <si>
    <t>Interim dividend paid</t>
  </si>
  <si>
    <t>Interest paid other than lease liabilities</t>
  </si>
  <si>
    <t>Net cash flow from financing activities</t>
  </si>
  <si>
    <t>Cash reconciliation</t>
  </si>
  <si>
    <t>Net increase/(decrease) in cash and cash equivalents</t>
  </si>
  <si>
    <t>Cash and cash equivalents at beginning (Note 15)</t>
  </si>
  <si>
    <t>Cash transferred on disposal of subsidiary</t>
  </si>
  <si>
    <t>Unrealised FX adjustment to beginning cash</t>
  </si>
  <si>
    <t>Acquisition under business combination</t>
  </si>
  <si>
    <t>Adjusted cash and cash equivalents at beginning</t>
  </si>
  <si>
    <t>Cash at end before final FX adjustment (Note 15)</t>
  </si>
  <si>
    <t>Final unrealised FX adjustment</t>
  </si>
  <si>
    <t>Cash and cash equivalents at end (cash-flow statement)</t>
  </si>
  <si>
    <t>Historical FCFF and calibration</t>
  </si>
  <si>
    <t>Cash-flow-based FCFF plus working-capital and capital-structure diagnostics</t>
  </si>
  <si>
    <t>Cash-flow-based FCFF</t>
  </si>
  <si>
    <t>After-tax finance costs</t>
  </si>
  <si>
    <t>Historical FCFF</t>
  </si>
  <si>
    <t>Core operating working capital</t>
  </si>
  <si>
    <t>Capital structure bridge</t>
  </si>
  <si>
    <t>The carrying-value bridge is historical. The Valuation Bridge tab uses FY:26 market values for quoted current investments and provides the selected equity-value adjustment.</t>
  </si>
  <si>
    <t>Sources and checks</t>
  </si>
  <si>
    <t>Source references, statement reconciliations and overlap checks</t>
  </si>
  <si>
    <t>Source log</t>
  </si>
  <si>
    <t>ID</t>
  </si>
  <si>
    <t>Statement</t>
  </si>
  <si>
    <t>Periods</t>
  </si>
  <si>
    <t>Reference</t>
  </si>
  <si>
    <t>File</t>
  </si>
  <si>
    <t>Status</t>
  </si>
  <si>
    <t>Notes</t>
  </si>
  <si>
    <t>S1</t>
  </si>
  <si>
    <t>Consolidated statement of profit and loss</t>
  </si>
  <si>
    <t>FY:25–FY:26</t>
  </si>
  <si>
    <t>Pidilite Industries annual report 2025–26, page 251</t>
  </si>
  <si>
    <t>abc725d1-52e9-4c36-9b6d-b534a1ac8a00.png</t>
  </si>
  <si>
    <t>Entered</t>
  </si>
  <si>
    <t>User-supplied screenshot</t>
  </si>
  <si>
    <t>S2</t>
  </si>
  <si>
    <t>Pidilite Industries annual report 2025–26</t>
  </si>
  <si>
    <t>e127ac53-53ad-41d1-a758-02364f880468.png</t>
  </si>
  <si>
    <t>S3</t>
  </si>
  <si>
    <t>Consolidated cash flow: operating and investing</t>
  </si>
  <si>
    <t>bbcebe16-9eb4-40a5-9b26-d43ac9fd9a36.png</t>
  </si>
  <si>
    <t>S4</t>
  </si>
  <si>
    <t>Consolidated cash flow: financing and reconciliation</t>
  </si>
  <si>
    <t>3de238e5-7fee-4178-85c9-c8e21242801d.png</t>
  </si>
  <si>
    <t>S5</t>
  </si>
  <si>
    <t>FY:24–FY:25</t>
  </si>
  <si>
    <t>Pidilite Industries annual report 2024–25</t>
  </si>
  <si>
    <t>a06bb4e6-8506-4a5d-a23b-17afb15f656e.png</t>
  </si>
  <si>
    <t>Checked</t>
  </si>
  <si>
    <t>Overlap source</t>
  </si>
  <si>
    <t>S6</t>
  </si>
  <si>
    <t>6810b68c-71ab-416d-ad83-df9e58172df9.png</t>
  </si>
  <si>
    <t>S7</t>
  </si>
  <si>
    <t>aaf89ad5-30d3-4651-b4ef-e0558a973fa3.png</t>
  </si>
  <si>
    <t>S8</t>
  </si>
  <si>
    <t>d2a03d00-1c1d-47f0-be3d-06744a60d505.png</t>
  </si>
  <si>
    <t>S9</t>
  </si>
  <si>
    <t>FY:23–FY:24</t>
  </si>
  <si>
    <t>Pidilite Industries annual report 2023–24</t>
  </si>
  <si>
    <t>f17c3b08-0e3f-4c1d-a3fd-78ceb583b7ae.png</t>
  </si>
  <si>
    <t>S10</t>
  </si>
  <si>
    <t>527df1f1-d2e5-4662-96d5-124ffaccf4c7.png</t>
  </si>
  <si>
    <t>S11</t>
  </si>
  <si>
    <t>69825253-4559-49d7-816a-89513d4dd245.png</t>
  </si>
  <si>
    <t>S12</t>
  </si>
  <si>
    <t>c4904340-d75a-4f42-a10f-4f790c19be07.png</t>
  </si>
  <si>
    <t>S13</t>
  </si>
  <si>
    <t>FY:22–FY:23</t>
  </si>
  <si>
    <t>Pidilite Industries annual report 2022–23</t>
  </si>
  <si>
    <t>e5006833-052b-4a8a-bc03-a97ab2a96513.png</t>
  </si>
  <si>
    <t>FY:22 includes ₹1.72 crore of non-current borrowings</t>
  </si>
  <si>
    <t>S14</t>
  </si>
  <si>
    <t>Pidilite Industries annual report 2022–23, page 193</t>
  </si>
  <si>
    <t>bafb4e63-e27e-434d-9a99-a0ce012c01a7.png</t>
  </si>
  <si>
    <t>S15</t>
  </si>
  <si>
    <t>Pidilite Industries annual report 2022–23, page 196</t>
  </si>
  <si>
    <t>75cf9be9-ee0a-42b4-b82c-83ea63865cce.png</t>
  </si>
  <si>
    <t>S16</t>
  </si>
  <si>
    <t>Pidilite Industries annual report 2022–23, page 197</t>
  </si>
  <si>
    <t>49e5b0bd-81c0-4568-a47a-ef6603b3b678.png</t>
  </si>
  <si>
    <t>FY:22 lease payment kept combined</t>
  </si>
  <si>
    <t>S17</t>
  </si>
  <si>
    <t>Cash and cash equivalents note</t>
  </si>
  <si>
    <t>Pidilite Industries annual report 2025–26, Note 15</t>
  </si>
  <si>
    <t>14994c14-bbbf-4059-8d88-7349ef91ffb8.png</t>
  </si>
  <si>
    <t>Reconciled</t>
  </si>
  <si>
    <t>Balance-sheet cash less overdrafts equals cash-flow cash</t>
  </si>
  <si>
    <t>S18</t>
  </si>
  <si>
    <t>Pidilite Industries annual report 2023–24, Note 15</t>
  </si>
  <si>
    <t>6a572c9a-863b-4492-99b1-38fca4e18910.png</t>
  </si>
  <si>
    <t>S19</t>
  </si>
  <si>
    <t>Pidilite Industries annual report 2022–23, Note 15</t>
  </si>
  <si>
    <t>960403f7-1f35-422c-9382-3408271cead1.png</t>
  </si>
  <si>
    <t>S20</t>
  </si>
  <si>
    <t>Revenue from operations note</t>
  </si>
  <si>
    <t>Pidilite Industries annual report 2025–26, Note 31</t>
  </si>
  <si>
    <t>6599354e-ab01-49c7-b240-e1c824dcae20.png</t>
  </si>
  <si>
    <t>Product, service, financial-services and other operating revenue bridge</t>
  </si>
  <si>
    <t>S21</t>
  </si>
  <si>
    <t>Pidilite Industries annual report 2023–24, Note 32</t>
  </si>
  <si>
    <t>9d6e4402-d167-4f88-aa36-fb5313d3fe1b.png</t>
  </si>
  <si>
    <t>Product, service and other operating revenue bridge</t>
  </si>
  <si>
    <t>S22</t>
  </si>
  <si>
    <t>Pidilite Industries annual report 2022–23, Note 33</t>
  </si>
  <si>
    <t>fc1db4f9-3939-451c-83fd-26cafc888c50.png</t>
  </si>
  <si>
    <t>Prior-format contracted-price disclosure; revenue components reconciled</t>
  </si>
  <si>
    <t>S23</t>
  </si>
  <si>
    <t>Consolidated segment information</t>
  </si>
  <si>
    <t>Pidilite Industries annual report 2025–26, consolidated Note 46</t>
  </si>
  <si>
    <t>1046e771-27b4-44ad-a071-61192778876e.png</t>
  </si>
  <si>
    <t>Net segment revenue, results, geography, assets, liabilities, D&amp;A and capex</t>
  </si>
  <si>
    <t>S24</t>
  </si>
  <si>
    <t>Standalone segment information</t>
  </si>
  <si>
    <t>Pidilite Industries annual report 2025–26, standalone Note 42</t>
  </si>
  <si>
    <t>28479c8b-ff88-469f-afe3-0f28d41a0a5a.png</t>
  </si>
  <si>
    <t>Reference only</t>
  </si>
  <si>
    <t>Not used for consolidated segment schedule</t>
  </si>
  <si>
    <t>S25</t>
  </si>
  <si>
    <t>Management business review: Consumer &amp; Bazaar</t>
  </si>
  <si>
    <t>Pidilite Industries annual report 2025–26, business review</t>
  </si>
  <si>
    <t>07c5323e-4dce-4ae8-8db1-48def5125ac9.png</t>
  </si>
  <si>
    <t>Standalone Company sales mix and category growth</t>
  </si>
  <si>
    <t>S26</t>
  </si>
  <si>
    <t>Management business review: Business to Business</t>
  </si>
  <si>
    <t>3f018c3c-a619-47fc-b048-c5c22e021c34.png</t>
  </si>
  <si>
    <t>S27</t>
  </si>
  <si>
    <t>Management outlook and risk commentary</t>
  </si>
  <si>
    <t>Pidilite Industries annual report 2025–26, current-year outlook</t>
  </si>
  <si>
    <t>346535d6-a04d-4a5c-a573-aac5127874f3.png</t>
  </si>
  <si>
    <t>Qualitative</t>
  </si>
  <si>
    <t>UVG described as improved but no numerical percentage disclosed</t>
  </si>
  <si>
    <t>S28</t>
  </si>
  <si>
    <t>Pidilite Industries annual report 2023–24, consolidated Note 48</t>
  </si>
  <si>
    <t>3f9a4c32-a0dc-4c55-8a15-ff7658b30a2e.png</t>
  </si>
  <si>
    <t>Segment history extended through FY:24</t>
  </si>
  <si>
    <t>S29</t>
  </si>
  <si>
    <t>Pidilite Industries annual report 2022–23, consolidated Note 48</t>
  </si>
  <si>
    <t>5a6925f6-7511-4bda-88c8-00ee5dd29291.png</t>
  </si>
  <si>
    <t>Segment history extended through FY:22; FY:23 overlap checked</t>
  </si>
  <si>
    <t>S30</t>
  </si>
  <si>
    <t>Investments — non-current</t>
  </si>
  <si>
    <t>Pidilite Industries annual report 2025–26, consolidated Note 8</t>
  </si>
  <si>
    <t>47a77b65-a4f3-4ba2-981d-481fcf4b2435.png</t>
  </si>
  <si>
    <t>Carrying value used; quoted amount agrees with reported market value</t>
  </si>
  <si>
    <t>S31</t>
  </si>
  <si>
    <t>Investments — current</t>
  </si>
  <si>
    <t>Pidilite Industries annual report 2025–26, consolidated Note 9</t>
  </si>
  <si>
    <t>c7ae7b5b-ccd7-4b0f-a61d-7905fd91deb9.png</t>
  </si>
  <si>
    <t>Quoted investments market-adjusted in valuation bridge</t>
  </si>
  <si>
    <t>S32</t>
  </si>
  <si>
    <t>Borrowings — current</t>
  </si>
  <si>
    <t>Pidilite Industries annual report 2025–26, consolidated Note 23</t>
  </si>
  <si>
    <t>05d16826-da24-4a5b-a110-569c71f6aefd.png; 75a7dea2-c892-4090-980c-b3af39c5965b.png</t>
  </si>
  <si>
    <t>Closing borrowing balance and supplier-finance disclosure</t>
  </si>
  <si>
    <t>S33</t>
  </si>
  <si>
    <t>Pidilite Industries annual report 2025–26, consolidated Note 53</t>
  </si>
  <si>
    <t>0d5350c2-d344-497e-acd8-f9df1701608f.png</t>
  </si>
  <si>
    <t>Closing lease balance reconciles to current and non-current liabilities</t>
  </si>
  <si>
    <t>S34</t>
  </si>
  <si>
    <t>Equity share capital and bonus issue</t>
  </si>
  <si>
    <t>Pidilite Industries annual report 2025–26, consolidated Note 21</t>
  </si>
  <si>
    <t>db894c2c-b291-4437-9d33-4639af3e1623.png</t>
  </si>
  <si>
    <t>Closing shares, 1:1 bonus issue and ESOP reserve</t>
  </si>
  <si>
    <t>Statement reconciliations</t>
  </si>
  <si>
    <t>Check</t>
  </si>
  <si>
    <t>FY:22 difference</t>
  </si>
  <si>
    <t>FY:23 difference</t>
  </si>
  <si>
    <t>FY:24 difference</t>
  </si>
  <si>
    <t>FY:25 difference</t>
  </si>
  <si>
    <t>FY:26 difference</t>
  </si>
  <si>
    <t>Tolerance</t>
  </si>
  <si>
    <t>P&amp;L total income vs reported</t>
  </si>
  <si>
    <t>P&amp;L total expenses vs reported</t>
  </si>
  <si>
    <t>FY:23 line-item rounding creates a ₹0.01 crore difference</t>
  </si>
  <si>
    <t>P&amp;L profit for year vs reported</t>
  </si>
  <si>
    <t>Balance-sheet total assets vs reported</t>
  </si>
  <si>
    <t>Balance-sheet equation</t>
  </si>
  <si>
    <t>Assets less equity and liabilities</t>
  </si>
  <si>
    <t>Operating cash flow vs reported</t>
  </si>
  <si>
    <t>Investing cash flow vs reported</t>
  </si>
  <si>
    <t>Financing cash flow vs reported</t>
  </si>
  <si>
    <t>Net cash change vs reported</t>
  </si>
  <si>
    <t>Note 15 cash-credit and bank-overdraft reconciliation</t>
  </si>
  <si>
    <t>Balance-sheet cash less Note 15 cash equals reported overdrafts included in current borrowings</t>
  </si>
  <si>
    <t>Revenue-note bridge vs P&amp;L revenue</t>
  </si>
  <si>
    <t>Revenue-note components sum to reported revenue from operations in every year</t>
  </si>
  <si>
    <t>Consolidated segment net revenue vs P&amp;L revenue</t>
  </si>
  <si>
    <t>FY:24 displayed segment components sum ₹0.01 crore above reported revenue due to line-item rounding; within tolerance</t>
  </si>
  <si>
    <t>Consolidated segment PBT vs P&amp;L PBT</t>
  </si>
  <si>
    <t>Consolidated segment-note PBT reconciles to the P&amp;L</t>
  </si>
  <si>
    <t>Overlapping-report checks</t>
  </si>
  <si>
    <t>Difference</t>
  </si>
  <si>
    <t>FY:25 revenue: annual report 2024–25 vs 2025–26</t>
  </si>
  <si>
    <t>Overlapping values agree</t>
  </si>
  <si>
    <t>FY:24 revenue: annual report 2023–24 vs 2024–25</t>
  </si>
  <si>
    <t>FY:24 total assets: annual report 2023–24 vs 2024–25</t>
  </si>
  <si>
    <t>FY:24 operating cash flow: annual report 2023–24 vs 2024–25</t>
  </si>
  <si>
    <t>FY:23 revenue: annual report 2022–23 vs 2023–24</t>
  </si>
  <si>
    <t>FY:23 total assets: annual report 2022–23 vs 2023–24</t>
  </si>
  <si>
    <t>FY:23 operating cash flow: annual report 2022–23 vs 2023–24</t>
  </si>
  <si>
    <t>FY:23 segment net revenue: annual reports 2022–23 vs 2023–24</t>
  </si>
  <si>
    <t>FY:23 total segment result: annual reports 2022–23 vs 2023–24</t>
  </si>
  <si>
    <t>Pale-yellow assumptions are editable, and the model recalculates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</si>
</sst>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;\-"/>
    <numFmt numFmtId="165" formatCode="0.0%;\(0.0%\);\-"/>
    <numFmt numFmtId="166" formatCode="\ \ @"/>
    <numFmt numFmtId="167" formatCode="dd\-mmm\-yyyy"/>
    <numFmt numFmtId="168" formatCode="0.0"/>
    <numFmt numFmtId="169" formatCode="0.00\x"/>
    <numFmt numFmtId="170" formatCode="0.0000"/>
    <numFmt numFmtId="171" formatCode="\₹0.00;\(\₹0.00\);\-"/>
    <numFmt numFmtId="172" formatCode="0.00;\(0.00\);0.00"/>
  </numFmts>
  <fonts count="10">
    <font>
      <sz val="11"/>
      <name val="Carlito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i/>
      <sz val="10"/>
      <color rgb="FF666666"/>
      <name val="Arial"/>
      <family val="2"/>
    </font>
    <font>
      <b/>
      <sz val="10"/>
      <color rgb="FF404040"/>
      <name val="Arial"/>
      <family val="2"/>
    </font>
    <font>
      <b/>
      <sz val="10"/>
      <color rgb="FFFFFFFF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65" fontId="5" fillId="3" borderId="6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164" fontId="7" fillId="0" borderId="9" xfId="0" applyNumberFormat="1" applyFont="1" applyBorder="1" applyAlignment="1">
      <alignment horizontal="right" vertical="center"/>
    </xf>
    <xf numFmtId="164" fontId="7" fillId="0" borderId="8" xfId="0" applyNumberFormat="1" applyFont="1" applyBorder="1" applyAlignment="1">
      <alignment horizontal="right" vertical="center"/>
    </xf>
    <xf numFmtId="164" fontId="4" fillId="5" borderId="3" xfId="0" applyNumberFormat="1" applyFont="1" applyFill="1" applyBorder="1" applyAlignment="1">
      <alignment horizontal="right" vertical="center"/>
    </xf>
    <xf numFmtId="17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164" fontId="7" fillId="0" borderId="8" xfId="0" applyNumberFormat="1" applyFont="1" applyBorder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4" fontId="7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66" fontId="1" fillId="0" borderId="0" xfId="0" applyNumberFormat="1" applyFont="1" applyAlignment="1">
      <alignment horizontal="left" vertical="center"/>
    </xf>
    <xf numFmtId="167" fontId="1" fillId="4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" fontId="1" fillId="4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164" fontId="7" fillId="0" borderId="9" xfId="0" applyNumberFormat="1" applyFont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3" xfId="0" applyNumberFormat="1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166" fontId="7" fillId="0" borderId="9" xfId="0" applyNumberFormat="1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166" fontId="7" fillId="0" borderId="8" xfId="0" applyNumberFormat="1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172" fontId="1" fillId="0" borderId="0" xfId="0" applyNumberFormat="1" applyFont="1" applyAlignment="1">
      <alignment horizontal="left" vertical="center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170" fontId="1" fillId="0" borderId="0" xfId="0" applyNumberFormat="1" applyFont="1" applyAlignment="1">
      <alignment horizontal="left" vertical="center"/>
    </xf>
    <xf numFmtId="170" fontId="7" fillId="0" borderId="9" xfId="0" applyNumberFormat="1" applyFont="1" applyBorder="1" applyAlignment="1">
      <alignment horizontal="left" vertical="center"/>
    </xf>
    <xf numFmtId="2" fontId="7" fillId="0" borderId="8" xfId="0" applyNumberFormat="1" applyFont="1" applyBorder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9" fillId="4" borderId="0" xfId="0" applyFont="1" applyFill="1" applyAlignment="1">
      <alignment horizontal="right" vertical="center" wrapText="1"/>
    </xf>
    <xf numFmtId="166" fontId="1" fillId="0" borderId="0" xfId="0" applyNumberFormat="1" applyFont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171" fontId="1" fillId="0" borderId="0" xfId="0" applyNumberFormat="1" applyFont="1" applyAlignment="1">
      <alignment horizontal="right" vertical="center"/>
    </xf>
    <xf numFmtId="0" fontId="6" fillId="4" borderId="0" xfId="0" applyFont="1" applyFill="1" applyAlignment="1">
      <alignment horizontal="right" vertical="center" wrapText="1"/>
    </xf>
    <xf numFmtId="0" fontId="4" fillId="5" borderId="3" xfId="0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right" vertical="center"/>
    </xf>
    <xf numFmtId="164" fontId="4" fillId="5" borderId="4" xfId="0" applyNumberFormat="1" applyFont="1" applyFill="1" applyBorder="1" applyAlignment="1">
      <alignment horizontal="right" vertical="center"/>
    </xf>
    <xf numFmtId="168" fontId="6" fillId="0" borderId="0" xfId="0" applyNumberFormat="1" applyFont="1" applyAlignment="1">
      <alignment horizontal="right" vertical="center"/>
    </xf>
    <xf numFmtId="165" fontId="1" fillId="4" borderId="0" xfId="0" applyNumberFormat="1" applyFont="1" applyFill="1" applyAlignment="1">
      <alignment horizontal="right" vertical="center"/>
    </xf>
    <xf numFmtId="168" fontId="1" fillId="4" borderId="0" xfId="0" applyNumberFormat="1" applyFont="1" applyFill="1" applyAlignment="1">
      <alignment horizontal="right" vertical="center"/>
    </xf>
    <xf numFmtId="169" fontId="1" fillId="4" borderId="0" xfId="0" applyNumberFormat="1" applyFont="1" applyFill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164" fontId="1" fillId="4" borderId="0" xfId="0" applyNumberFormat="1" applyFont="1" applyFill="1" applyAlignment="1">
      <alignment horizontal="right" vertical="center"/>
    </xf>
    <xf numFmtId="168" fontId="1" fillId="0" borderId="0" xfId="0" applyNumberFormat="1" applyFont="1" applyAlignment="1">
      <alignment horizontal="right" vertical="center"/>
    </xf>
    <xf numFmtId="4" fontId="7" fillId="0" borderId="8" xfId="0" applyNumberFormat="1" applyFont="1" applyBorder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4" fontId="4" fillId="4" borderId="0" xfId="0" applyNumberFormat="1" applyFont="1" applyFill="1" applyAlignment="1">
      <alignment horizontal="right" vertical="center"/>
    </xf>
    <xf numFmtId="165" fontId="1" fillId="0" borderId="0" xfId="0" applyNumberFormat="1" applyFont="1" applyAlignment="1">
      <alignment horizontal="right" vertical="center" wrapText="1"/>
    </xf>
    <xf numFmtId="0" fontId="9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right" vertical="center" wrapText="1"/>
    </xf>
    <xf numFmtId="0" fontId="8" fillId="5" borderId="0" xfId="0" applyFont="1" applyFill="1" applyAlignment="1">
      <alignment horizontal="left" vertical="center" wrapText="1"/>
    </xf>
    <xf numFmtId="164" fontId="7" fillId="0" borderId="8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1">
    <dxf>
      <font>
        <b/>
        <color rgb="FF000000"/>
      </font>
      <fill>
        <patternFill patternType="solid"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04040"/>
  </sheetPr>
  <dimension ref="A1:H32"/>
  <sheetViews>
    <sheetView tabSelected="1" workbookViewId="0">
      <selection activeCell="D27" sqref="D27"/>
    </sheetView>
  </sheetViews>
  <sheetFormatPr defaultRowHeight="14"/>
  <cols>
    <col min="1" max="2" width="2.5" customWidth="1"/>
    <col min="3" max="3" width="58" customWidth="1"/>
    <col min="4" max="4" width="24" customWidth="1"/>
    <col min="5" max="8" width="13" customWidth="1"/>
  </cols>
  <sheetData>
    <row r="1" spans="1:8" ht="18" customHeight="1">
      <c r="A1" s="11"/>
      <c r="B1" s="11"/>
      <c r="C1" s="11"/>
      <c r="D1" s="11"/>
      <c r="E1" s="11"/>
      <c r="F1" s="11"/>
      <c r="G1" s="11"/>
      <c r="H1" s="11"/>
    </row>
    <row r="2" spans="1:8" ht="18" customHeight="1">
      <c r="A2" s="11"/>
      <c r="B2" s="11"/>
      <c r="C2" s="12" t="s">
        <v>0</v>
      </c>
      <c r="D2" s="12"/>
      <c r="E2" s="12"/>
      <c r="F2" s="12"/>
      <c r="G2" s="12"/>
      <c r="H2" s="12"/>
    </row>
    <row r="3" spans="1:8" ht="18" customHeight="1">
      <c r="A3" s="11"/>
      <c r="B3" s="11"/>
      <c r="C3" s="13" t="s">
        <v>1</v>
      </c>
      <c r="D3" s="13"/>
      <c r="E3" s="13"/>
      <c r="F3" s="13"/>
      <c r="G3" s="13"/>
      <c r="H3" s="13"/>
    </row>
    <row r="4" spans="1:8" ht="18" customHeight="1">
      <c r="A4" s="11"/>
      <c r="B4" s="11"/>
      <c r="C4" s="14"/>
      <c r="D4" s="14"/>
      <c r="E4" s="14"/>
      <c r="F4" s="14"/>
      <c r="G4" s="14"/>
      <c r="H4" s="14"/>
    </row>
    <row r="5" spans="1:8" ht="18" customHeight="1">
      <c r="A5" s="11"/>
      <c r="B5" s="11"/>
      <c r="C5" s="11"/>
      <c r="D5" s="11"/>
      <c r="E5" s="11"/>
      <c r="F5" s="11"/>
      <c r="G5" s="11"/>
      <c r="H5" s="11"/>
    </row>
    <row r="6" spans="1:8" ht="18" customHeight="1">
      <c r="A6" s="11"/>
      <c r="B6" s="11"/>
      <c r="C6" s="15" t="s">
        <v>2</v>
      </c>
      <c r="D6" s="16"/>
      <c r="E6" s="16"/>
      <c r="F6" s="16"/>
      <c r="G6" s="16"/>
      <c r="H6" s="17"/>
    </row>
    <row r="7" spans="1:8" ht="18" customHeight="1">
      <c r="A7" s="11"/>
      <c r="B7" s="11"/>
      <c r="C7" s="18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2" t="s">
        <v>8</v>
      </c>
    </row>
    <row r="8" spans="1:8" ht="18" customHeight="1">
      <c r="A8" s="11"/>
      <c r="B8" s="11"/>
      <c r="C8" s="11" t="s">
        <v>9</v>
      </c>
      <c r="D8" s="4">
        <f>'P&amp;L'!D7</f>
        <v>9920.9599999999991</v>
      </c>
      <c r="E8" s="4">
        <f>'P&amp;L'!E7</f>
        <v>11799.1</v>
      </c>
      <c r="F8" s="4">
        <f>'P&amp;L'!F7</f>
        <v>12382.99</v>
      </c>
      <c r="G8" s="4">
        <f>'P&amp;L'!G7</f>
        <v>13140.31</v>
      </c>
      <c r="H8" s="4">
        <f>'P&amp;L'!H7</f>
        <v>14600.83</v>
      </c>
    </row>
    <row r="9" spans="1:8" ht="18" customHeight="1">
      <c r="A9" s="11"/>
      <c r="B9" s="11"/>
      <c r="C9" s="22" t="s">
        <v>10</v>
      </c>
      <c r="D9" s="58" t="s">
        <v>11</v>
      </c>
      <c r="E9" s="58">
        <f>'P&amp;L'!E8</f>
        <v>0.18931030867980536</v>
      </c>
      <c r="F9" s="58">
        <f>'P&amp;L'!F8</f>
        <v>4.9485977744065268E-2</v>
      </c>
      <c r="G9" s="58">
        <f>'P&amp;L'!G8</f>
        <v>6.1158088636104724E-2</v>
      </c>
      <c r="H9" s="58">
        <f>'P&amp;L'!H8</f>
        <v>0.11114806271693745</v>
      </c>
    </row>
    <row r="10" spans="1:8" ht="18" customHeight="1">
      <c r="A10" s="11"/>
      <c r="B10" s="11"/>
      <c r="C10" s="11" t="s">
        <v>12</v>
      </c>
      <c r="D10" s="4">
        <f>'P&amp;L'!D37</f>
        <v>1847.29</v>
      </c>
      <c r="E10" s="4">
        <f>'P&amp;L'!E37</f>
        <v>1984.3700000000006</v>
      </c>
      <c r="F10" s="4">
        <f>'P&amp;L'!F37</f>
        <v>2707.2699999999995</v>
      </c>
      <c r="G10" s="4">
        <f>'P&amp;L'!G37</f>
        <v>3012.5099999999998</v>
      </c>
      <c r="H10" s="4">
        <f>'P&amp;L'!H37</f>
        <v>3519.0000000000005</v>
      </c>
    </row>
    <row r="11" spans="1:8" ht="18" customHeight="1">
      <c r="A11" s="11"/>
      <c r="B11" s="11"/>
      <c r="C11" s="22" t="s">
        <v>13</v>
      </c>
      <c r="D11" s="58">
        <f>'P&amp;L'!D38</f>
        <v>0.18620073057446054</v>
      </c>
      <c r="E11" s="58">
        <f>'P&amp;L'!E38</f>
        <v>0.16817977642362558</v>
      </c>
      <c r="F11" s="58">
        <f>'P&amp;L'!F38</f>
        <v>0.21862813423898425</v>
      </c>
      <c r="G11" s="58">
        <f>'P&amp;L'!G38</f>
        <v>0.229257148423439</v>
      </c>
      <c r="H11" s="58">
        <f>'P&amp;L'!H38</f>
        <v>0.24101369579674584</v>
      </c>
    </row>
    <row r="12" spans="1:8" ht="18" customHeight="1">
      <c r="A12" s="11"/>
      <c r="B12" s="11"/>
      <c r="C12" s="11" t="s">
        <v>14</v>
      </c>
      <c r="D12" s="4">
        <f>'P&amp;L'!D39</f>
        <v>1607.6799999999998</v>
      </c>
      <c r="E12" s="4">
        <f>'P&amp;L'!E39</f>
        <v>1714.6300000000006</v>
      </c>
      <c r="F12" s="4">
        <f>'P&amp;L'!F39</f>
        <v>2366.6099999999997</v>
      </c>
      <c r="G12" s="4">
        <f>'P&amp;L'!G39</f>
        <v>2654.0299999999997</v>
      </c>
      <c r="H12" s="4">
        <f>'P&amp;L'!H39</f>
        <v>3124.2900000000004</v>
      </c>
    </row>
    <row r="13" spans="1:8" ht="18" customHeight="1">
      <c r="A13" s="11"/>
      <c r="B13" s="11"/>
      <c r="C13" s="11" t="s">
        <v>15</v>
      </c>
      <c r="D13" s="4">
        <f>'P&amp;L'!D30</f>
        <v>1206.7599999999998</v>
      </c>
      <c r="E13" s="4">
        <f>'P&amp;L'!E30</f>
        <v>1288.8700000000003</v>
      </c>
      <c r="F13" s="4">
        <f>'P&amp;L'!F30</f>
        <v>1747.4199999999996</v>
      </c>
      <c r="G13" s="4">
        <f>'P&amp;L'!G30</f>
        <v>2096.1699999999992</v>
      </c>
      <c r="H13" s="4">
        <f>'P&amp;L'!H30</f>
        <v>2470.7200000000021</v>
      </c>
    </row>
    <row r="14" spans="1:8" ht="18" customHeight="1">
      <c r="A14" s="11"/>
      <c r="B14" s="11"/>
      <c r="C14" s="22" t="s">
        <v>16</v>
      </c>
      <c r="D14" s="58">
        <f>'P&amp;L'!D29</f>
        <v>0.25221529576522206</v>
      </c>
      <c r="E14" s="58">
        <f>'P&amp;L'!E29</f>
        <v>0.25206587590817292</v>
      </c>
      <c r="F14" s="58">
        <f>'P&amp;L'!F29</f>
        <v>0.26558934162691494</v>
      </c>
      <c r="G14" s="58">
        <f>'P&amp;L'!G29</f>
        <v>0.25738831615120278</v>
      </c>
      <c r="H14" s="58">
        <f>'P&amp;L'!H29</f>
        <v>0.25584533322088915</v>
      </c>
    </row>
    <row r="15" spans="1:8" ht="18" customHeight="1">
      <c r="A15" s="11"/>
      <c r="B15" s="11"/>
      <c r="C15" s="11" t="s">
        <v>17</v>
      </c>
      <c r="D15" s="4">
        <f>FCF!D12</f>
        <v>612.09678035419915</v>
      </c>
      <c r="E15" s="4">
        <f>FCF!E12</f>
        <v>1087.8515816717349</v>
      </c>
      <c r="F15" s="4">
        <f>FCF!F12</f>
        <v>2202.9044816021187</v>
      </c>
      <c r="G15" s="4">
        <f>FCF!G12</f>
        <v>1871.6804982817873</v>
      </c>
      <c r="H15" s="4">
        <f>FCF!H12</f>
        <v>2276.0280660327626</v>
      </c>
    </row>
    <row r="16" spans="1:8" ht="18" customHeight="1">
      <c r="A16" s="11"/>
      <c r="B16" s="11"/>
      <c r="C16" s="22" t="s">
        <v>18</v>
      </c>
      <c r="D16" s="58">
        <f>FCF!D13</f>
        <v>6.1697333761470581E-2</v>
      </c>
      <c r="E16" s="58">
        <f>FCF!E13</f>
        <v>9.2197844045031813E-2</v>
      </c>
      <c r="F16" s="58">
        <f>FCF!F13</f>
        <v>0.17789762259374503</v>
      </c>
      <c r="G16" s="58">
        <f>FCF!G13</f>
        <v>0.14243807781412976</v>
      </c>
      <c r="H16" s="58">
        <f>FCF!H13</f>
        <v>0.15588347142133444</v>
      </c>
    </row>
    <row r="17" spans="1:8" ht="18" customHeight="1">
      <c r="A17" s="11"/>
      <c r="B17" s="11"/>
      <c r="C17" s="23" t="s">
        <v>19</v>
      </c>
      <c r="D17" s="6">
        <f>FCF!D30</f>
        <v>337.29</v>
      </c>
      <c r="E17" s="6">
        <f>FCF!E30</f>
        <v>721.87</v>
      </c>
      <c r="F17" s="6">
        <f>FCF!F30</f>
        <v>2280.8900000000003</v>
      </c>
      <c r="G17" s="6">
        <f>FCF!G30</f>
        <v>3333.32</v>
      </c>
      <c r="H17" s="6">
        <f>FCF!H30</f>
        <v>4065.08</v>
      </c>
    </row>
    <row r="18" spans="1:8" ht="18" customHeight="1">
      <c r="A18" s="11"/>
      <c r="B18" s="11"/>
      <c r="C18" s="11"/>
      <c r="D18" s="11"/>
      <c r="E18" s="11"/>
      <c r="F18" s="11"/>
      <c r="G18" s="11"/>
      <c r="H18" s="11"/>
    </row>
    <row r="19" spans="1:8" ht="18" customHeight="1">
      <c r="A19" s="11"/>
      <c r="B19" s="11"/>
      <c r="C19" s="15" t="s">
        <v>20</v>
      </c>
      <c r="D19" s="16"/>
      <c r="E19" s="16"/>
      <c r="F19" s="16"/>
      <c r="G19" s="16"/>
      <c r="H19" s="17"/>
    </row>
    <row r="20" spans="1:8" ht="18" customHeight="1">
      <c r="A20" s="11"/>
      <c r="B20" s="11"/>
      <c r="C20" s="11" t="s">
        <v>21</v>
      </c>
      <c r="D20" s="11"/>
      <c r="E20" s="11"/>
      <c r="F20" s="11"/>
      <c r="G20" s="11"/>
      <c r="H20" s="25">
        <f>DCF!D18</f>
        <v>38133.745945575443</v>
      </c>
    </row>
    <row r="21" spans="1:8" ht="18" customHeight="1">
      <c r="A21" s="11"/>
      <c r="B21" s="11"/>
      <c r="C21" s="11" t="s">
        <v>22</v>
      </c>
      <c r="D21" s="11"/>
      <c r="E21" s="11"/>
      <c r="F21" s="11"/>
      <c r="G21" s="11"/>
      <c r="H21" s="25">
        <f>DCF!D19</f>
        <v>4146.42</v>
      </c>
    </row>
    <row r="22" spans="1:8" ht="18" customHeight="1">
      <c r="A22" s="11"/>
      <c r="B22" s="11"/>
      <c r="C22" s="11" t="s">
        <v>23</v>
      </c>
      <c r="D22" s="11"/>
      <c r="E22" s="11"/>
      <c r="F22" s="11"/>
      <c r="G22" s="11"/>
      <c r="H22" s="25">
        <f>DCF!D20</f>
        <v>42280.165945575442</v>
      </c>
    </row>
    <row r="23" spans="1:8" ht="18" customHeight="1">
      <c r="A23" s="11"/>
      <c r="B23" s="11"/>
      <c r="C23" s="11" t="s">
        <v>24</v>
      </c>
      <c r="D23" s="11"/>
      <c r="E23" s="11"/>
      <c r="F23" s="11"/>
      <c r="G23" s="11"/>
      <c r="H23" s="26">
        <f>DCF!D22</f>
        <v>414.52835713427402</v>
      </c>
    </row>
    <row r="24" spans="1:8" ht="32" customHeight="1">
      <c r="A24" s="11"/>
      <c r="B24" s="11"/>
      <c r="C24" s="27" t="s">
        <v>25</v>
      </c>
      <c r="D24" s="81" t="s">
        <v>679</v>
      </c>
      <c r="E24" s="81"/>
      <c r="F24" s="81"/>
      <c r="G24" s="81"/>
      <c r="H24" s="81"/>
    </row>
    <row r="25" spans="1:8" ht="18" customHeight="1">
      <c r="A25" s="11"/>
      <c r="B25" s="11"/>
      <c r="C25" s="11"/>
      <c r="D25" s="11"/>
      <c r="E25" s="11"/>
      <c r="F25" s="11"/>
      <c r="G25" s="11"/>
      <c r="H25" s="11"/>
    </row>
    <row r="26" spans="1:8" ht="18" customHeight="1">
      <c r="A26" s="11"/>
      <c r="B26" s="11"/>
      <c r="C26" s="15"/>
      <c r="D26" s="16"/>
      <c r="E26" s="16"/>
      <c r="F26" s="16"/>
      <c r="G26" s="16"/>
      <c r="H26" s="17"/>
    </row>
    <row r="27" spans="1:8" ht="18" customHeight="1">
      <c r="A27" s="11"/>
      <c r="B27" s="11"/>
      <c r="C27" s="28"/>
      <c r="D27" s="11"/>
      <c r="E27" s="11"/>
      <c r="F27" s="11"/>
      <c r="G27" s="11"/>
      <c r="H27" s="11"/>
    </row>
    <row r="28" spans="1:8" ht="18" customHeight="1">
      <c r="A28" s="11"/>
      <c r="B28" s="11"/>
      <c r="C28" s="28"/>
      <c r="D28" s="11"/>
      <c r="E28" s="11"/>
      <c r="F28" s="11"/>
      <c r="G28" s="11"/>
      <c r="H28" s="11"/>
    </row>
    <row r="29" spans="1:8" ht="18" customHeight="1">
      <c r="A29" s="11"/>
      <c r="B29" s="11"/>
      <c r="C29" s="28"/>
      <c r="D29" s="11"/>
      <c r="E29" s="11"/>
      <c r="F29" s="11"/>
      <c r="G29" s="11"/>
      <c r="H29" s="11"/>
    </row>
    <row r="30" spans="1:8" ht="18" customHeight="1">
      <c r="A30" s="11"/>
      <c r="B30" s="11"/>
      <c r="C30" s="28"/>
      <c r="D30" s="11"/>
      <c r="E30" s="11"/>
      <c r="F30" s="11"/>
      <c r="G30" s="11"/>
      <c r="H30" s="11"/>
    </row>
    <row r="31" spans="1:8" ht="18" customHeight="1">
      <c r="A31" s="11"/>
      <c r="B31" s="11"/>
      <c r="C31" s="28"/>
      <c r="D31" s="11"/>
      <c r="E31" s="11"/>
      <c r="F31" s="11"/>
      <c r="G31" s="11"/>
      <c r="H31" s="11"/>
    </row>
    <row r="32" spans="1:8" ht="18" customHeight="1">
      <c r="A32" s="11"/>
      <c r="B32" s="11"/>
      <c r="C32" s="11"/>
      <c r="D32" s="11"/>
      <c r="E32" s="11"/>
      <c r="F32" s="11"/>
      <c r="G32" s="11"/>
      <c r="H32" s="11"/>
    </row>
  </sheetData>
  <mergeCells count="1">
    <mergeCell ref="D24:H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95959"/>
  </sheetPr>
  <dimension ref="A1:H51"/>
  <sheetViews>
    <sheetView workbookViewId="0">
      <pane xSplit="3" ySplit="15" topLeftCell="D16" activePane="bottomRight" state="frozen"/>
      <selection pane="topRight"/>
      <selection pane="bottomLeft"/>
      <selection pane="bottomRight" activeCell="D16" sqref="D16"/>
    </sheetView>
  </sheetViews>
  <sheetFormatPr defaultRowHeight="14"/>
  <cols>
    <col min="1" max="2" width="2.5" customWidth="1"/>
    <col min="3" max="3" width="43" customWidth="1"/>
    <col min="4" max="4" width="15" customWidth="1"/>
    <col min="5" max="8" width="13" customWidth="1"/>
  </cols>
  <sheetData>
    <row r="1" spans="1:8" ht="18" customHeight="1">
      <c r="A1" s="11"/>
      <c r="B1" s="11"/>
      <c r="C1" s="11"/>
      <c r="D1" s="11"/>
      <c r="E1" s="11"/>
      <c r="F1" s="11"/>
      <c r="G1" s="11"/>
      <c r="H1" s="11"/>
    </row>
    <row r="2" spans="1:8" ht="18" customHeight="1">
      <c r="A2" s="11"/>
      <c r="B2" s="11"/>
      <c r="C2" s="12" t="s">
        <v>26</v>
      </c>
      <c r="D2" s="12"/>
      <c r="E2" s="12"/>
      <c r="F2" s="12"/>
      <c r="G2" s="12"/>
      <c r="H2" s="12"/>
    </row>
    <row r="3" spans="1:8" ht="18" customHeight="1">
      <c r="A3" s="11"/>
      <c r="B3" s="11"/>
      <c r="C3" s="13" t="s">
        <v>27</v>
      </c>
      <c r="D3" s="13"/>
      <c r="E3" s="13"/>
      <c r="F3" s="13"/>
      <c r="G3" s="13"/>
      <c r="H3" s="13"/>
    </row>
    <row r="4" spans="1:8" ht="18" customHeight="1">
      <c r="A4" s="11"/>
      <c r="B4" s="11"/>
      <c r="C4" s="14"/>
      <c r="D4" s="14"/>
      <c r="E4" s="14"/>
      <c r="F4" s="14"/>
      <c r="G4" s="14"/>
      <c r="H4" s="14"/>
    </row>
    <row r="5" spans="1:8" ht="18" customHeight="1">
      <c r="A5" s="11"/>
      <c r="B5" s="11"/>
      <c r="C5" s="11"/>
      <c r="D5" s="11"/>
      <c r="E5" s="11"/>
      <c r="F5" s="11"/>
      <c r="G5" s="11"/>
      <c r="H5" s="11"/>
    </row>
    <row r="6" spans="1:8" ht="18" customHeight="1">
      <c r="A6" s="11"/>
      <c r="B6" s="11"/>
      <c r="C6" s="15" t="s">
        <v>28</v>
      </c>
      <c r="D6" s="16"/>
      <c r="E6" s="16"/>
      <c r="F6" s="16"/>
      <c r="G6" s="16"/>
      <c r="H6" s="17"/>
    </row>
    <row r="7" spans="1:8" ht="18" customHeight="1">
      <c r="A7" s="11"/>
      <c r="B7" s="11"/>
      <c r="C7" s="11" t="s">
        <v>29</v>
      </c>
      <c r="D7" s="29">
        <v>46112</v>
      </c>
      <c r="E7" s="11"/>
      <c r="F7" s="11"/>
      <c r="G7" s="11"/>
      <c r="H7" s="11"/>
    </row>
    <row r="8" spans="1:8" ht="18" customHeight="1">
      <c r="A8" s="11"/>
      <c r="B8" s="11"/>
      <c r="C8" s="11" t="s">
        <v>30</v>
      </c>
      <c r="D8" s="30" t="s">
        <v>31</v>
      </c>
      <c r="E8" s="11"/>
      <c r="F8" s="11"/>
      <c r="G8" s="11"/>
      <c r="H8" s="11"/>
    </row>
    <row r="9" spans="1:8" ht="18" customHeight="1">
      <c r="A9" s="11"/>
      <c r="B9" s="11"/>
      <c r="C9" s="11" t="s">
        <v>32</v>
      </c>
      <c r="D9" s="30" t="s">
        <v>33</v>
      </c>
      <c r="E9" s="11"/>
      <c r="F9" s="11"/>
      <c r="G9" s="11"/>
      <c r="H9" s="11"/>
    </row>
    <row r="10" spans="1:8" ht="18" customHeight="1">
      <c r="A10" s="11"/>
      <c r="B10" s="11"/>
      <c r="C10" s="11" t="s">
        <v>34</v>
      </c>
      <c r="D10" s="31">
        <v>5</v>
      </c>
      <c r="E10" s="11"/>
      <c r="F10" s="11"/>
      <c r="G10" s="11"/>
      <c r="H10" s="11"/>
    </row>
    <row r="11" spans="1:8" ht="18" customHeight="1">
      <c r="A11" s="11"/>
      <c r="B11" s="11"/>
      <c r="C11" s="11" t="s">
        <v>35</v>
      </c>
      <c r="D11" s="30" t="s">
        <v>36</v>
      </c>
      <c r="E11" s="11"/>
      <c r="F11" s="11"/>
      <c r="G11" s="11"/>
      <c r="H11" s="11"/>
    </row>
    <row r="12" spans="1:8" ht="18" customHeight="1">
      <c r="A12" s="11"/>
      <c r="B12" s="11"/>
      <c r="C12" s="11" t="s">
        <v>37</v>
      </c>
      <c r="D12" s="30" t="s">
        <v>38</v>
      </c>
      <c r="E12" s="11"/>
      <c r="F12" s="11"/>
      <c r="G12" s="11"/>
      <c r="H12" s="11"/>
    </row>
    <row r="13" spans="1:8" ht="18" customHeight="1">
      <c r="A13" s="11"/>
      <c r="B13" s="11"/>
      <c r="C13" s="11"/>
      <c r="D13" s="11"/>
      <c r="E13" s="11"/>
      <c r="F13" s="11"/>
      <c r="G13" s="11"/>
      <c r="H13" s="11"/>
    </row>
    <row r="14" spans="1:8" ht="18" customHeight="1">
      <c r="A14" s="11"/>
      <c r="B14" s="11"/>
      <c r="C14" s="15" t="s">
        <v>39</v>
      </c>
      <c r="D14" s="16"/>
      <c r="E14" s="16"/>
      <c r="F14" s="16"/>
      <c r="G14" s="16"/>
      <c r="H14" s="17"/>
    </row>
    <row r="15" spans="1:8" ht="18" customHeight="1">
      <c r="A15" s="11"/>
      <c r="B15" s="11"/>
      <c r="C15" s="18" t="s">
        <v>40</v>
      </c>
      <c r="D15" s="1" t="s">
        <v>41</v>
      </c>
      <c r="E15" s="1" t="s">
        <v>42</v>
      </c>
      <c r="F15" s="1" t="s">
        <v>43</v>
      </c>
      <c r="G15" s="1" t="s">
        <v>44</v>
      </c>
      <c r="H15" s="2" t="s">
        <v>45</v>
      </c>
    </row>
    <row r="16" spans="1:8" ht="18" customHeight="1">
      <c r="A16" s="11"/>
      <c r="B16" s="11"/>
      <c r="C16" s="28" t="s">
        <v>46</v>
      </c>
      <c r="D16" s="70">
        <v>0.105</v>
      </c>
      <c r="E16" s="70">
        <v>0.1</v>
      </c>
      <c r="F16" s="70">
        <v>9.5000000000000001E-2</v>
      </c>
      <c r="G16" s="70">
        <v>0.09</v>
      </c>
      <c r="H16" s="70">
        <v>8.5000000000000006E-2</v>
      </c>
    </row>
    <row r="17" spans="1:8" ht="18" customHeight="1">
      <c r="A17" s="11"/>
      <c r="B17" s="11"/>
      <c r="C17" s="28" t="s">
        <v>13</v>
      </c>
      <c r="D17" s="70">
        <v>0.24299999999999999</v>
      </c>
      <c r="E17" s="70">
        <v>0.245</v>
      </c>
      <c r="F17" s="70">
        <v>0.247</v>
      </c>
      <c r="G17" s="70">
        <v>0.248</v>
      </c>
      <c r="H17" s="70">
        <v>0.25</v>
      </c>
    </row>
    <row r="18" spans="1:8" ht="18" customHeight="1">
      <c r="A18" s="11"/>
      <c r="B18" s="11"/>
      <c r="C18" s="28" t="s">
        <v>47</v>
      </c>
      <c r="D18" s="70">
        <v>2.7E-2</v>
      </c>
      <c r="E18" s="70">
        <v>2.7E-2</v>
      </c>
      <c r="F18" s="70">
        <v>2.7E-2</v>
      </c>
      <c r="G18" s="70">
        <v>2.7E-2</v>
      </c>
      <c r="H18" s="70">
        <v>2.7E-2</v>
      </c>
    </row>
    <row r="19" spans="1:8" ht="18" customHeight="1">
      <c r="A19" s="11"/>
      <c r="B19" s="11"/>
      <c r="C19" s="28" t="s">
        <v>16</v>
      </c>
      <c r="D19" s="70">
        <v>0.25600000000000001</v>
      </c>
      <c r="E19" s="70">
        <v>0.25600000000000001</v>
      </c>
      <c r="F19" s="70">
        <v>0.25600000000000001</v>
      </c>
      <c r="G19" s="70">
        <v>0.25600000000000001</v>
      </c>
      <c r="H19" s="70">
        <v>0.25600000000000001</v>
      </c>
    </row>
    <row r="20" spans="1:8" ht="18" customHeight="1">
      <c r="A20" s="11"/>
      <c r="B20" s="11"/>
      <c r="C20" s="28" t="s">
        <v>48</v>
      </c>
      <c r="D20" s="70">
        <v>0.04</v>
      </c>
      <c r="E20" s="70">
        <v>0.04</v>
      </c>
      <c r="F20" s="70">
        <v>3.9E-2</v>
      </c>
      <c r="G20" s="70">
        <v>3.7999999999999999E-2</v>
      </c>
      <c r="H20" s="70">
        <v>3.7999999999999999E-2</v>
      </c>
    </row>
    <row r="21" spans="1:8" ht="18" customHeight="1">
      <c r="A21" s="11"/>
      <c r="B21" s="11"/>
      <c r="C21" s="28" t="s">
        <v>49</v>
      </c>
      <c r="D21" s="71">
        <v>54</v>
      </c>
      <c r="E21" s="71">
        <v>53</v>
      </c>
      <c r="F21" s="71">
        <v>52</v>
      </c>
      <c r="G21" s="71">
        <v>51</v>
      </c>
      <c r="H21" s="71">
        <v>50</v>
      </c>
    </row>
    <row r="22" spans="1:8" ht="18" customHeight="1">
      <c r="A22" s="11"/>
      <c r="B22" s="11"/>
      <c r="C22" s="28" t="s">
        <v>50</v>
      </c>
      <c r="D22" s="71">
        <v>98</v>
      </c>
      <c r="E22" s="71">
        <v>97</v>
      </c>
      <c r="F22" s="71">
        <v>96</v>
      </c>
      <c r="G22" s="71">
        <v>95</v>
      </c>
      <c r="H22" s="71">
        <v>95</v>
      </c>
    </row>
    <row r="23" spans="1:8" ht="18" customHeight="1">
      <c r="A23" s="11"/>
      <c r="B23" s="11"/>
      <c r="C23" s="28" t="s">
        <v>51</v>
      </c>
      <c r="D23" s="71">
        <v>86</v>
      </c>
      <c r="E23" s="71">
        <v>86</v>
      </c>
      <c r="F23" s="71">
        <v>86</v>
      </c>
      <c r="G23" s="71">
        <v>86</v>
      </c>
      <c r="H23" s="71">
        <v>86</v>
      </c>
    </row>
    <row r="24" spans="1:8" ht="18" customHeight="1">
      <c r="A24" s="11"/>
      <c r="B24" s="11"/>
      <c r="C24" s="28" t="s">
        <v>52</v>
      </c>
      <c r="D24" s="70">
        <f>$D$48</f>
        <v>0.12013939994198695</v>
      </c>
      <c r="E24" s="70">
        <f>$D$48</f>
        <v>0.12013939994198695</v>
      </c>
      <c r="F24" s="70">
        <f>$D$48</f>
        <v>0.12013939994198695</v>
      </c>
      <c r="G24" s="70">
        <f>$D$48</f>
        <v>0.12013939994198695</v>
      </c>
      <c r="H24" s="70">
        <f>$D$48</f>
        <v>0.12013939994198695</v>
      </c>
    </row>
    <row r="25" spans="1:8" ht="18" customHeight="1">
      <c r="A25" s="11"/>
      <c r="B25" s="11"/>
      <c r="C25" s="28" t="s">
        <v>53</v>
      </c>
      <c r="D25" s="70">
        <f>$D$49</f>
        <v>0.05</v>
      </c>
      <c r="E25" s="70">
        <f>$D$49</f>
        <v>0.05</v>
      </c>
      <c r="F25" s="70">
        <f>$D$49</f>
        <v>0.05</v>
      </c>
      <c r="G25" s="70">
        <f>$D$49</f>
        <v>0.05</v>
      </c>
      <c r="H25" s="70">
        <f>$D$49</f>
        <v>0.05</v>
      </c>
    </row>
    <row r="26" spans="1:8" ht="18" customHeight="1">
      <c r="A26" s="11"/>
      <c r="B26" s="11"/>
      <c r="C26" s="11"/>
      <c r="D26" s="11"/>
      <c r="E26" s="11"/>
      <c r="F26" s="11"/>
      <c r="G26" s="11"/>
      <c r="H26" s="11"/>
    </row>
    <row r="27" spans="1:8" ht="18" customHeight="1">
      <c r="A27" s="11"/>
      <c r="B27" s="11"/>
      <c r="C27" s="22" t="s">
        <v>54</v>
      </c>
      <c r="D27" s="22"/>
      <c r="E27" s="22"/>
      <c r="F27" s="22"/>
      <c r="G27" s="22"/>
      <c r="H27" s="22"/>
    </row>
    <row r="28" spans="1:8" ht="18" customHeight="1">
      <c r="A28" s="11"/>
      <c r="B28" s="11"/>
      <c r="C28" s="11"/>
      <c r="D28" s="11"/>
      <c r="E28" s="11"/>
      <c r="F28" s="11"/>
      <c r="G28" s="11"/>
      <c r="H28" s="11"/>
    </row>
    <row r="29" spans="1:8" ht="18" customHeight="1">
      <c r="A29" s="11"/>
      <c r="B29" s="11"/>
      <c r="C29" s="15" t="s">
        <v>55</v>
      </c>
      <c r="D29" s="16"/>
      <c r="E29" s="16"/>
      <c r="F29" s="16"/>
      <c r="G29" s="16"/>
      <c r="H29" s="17"/>
    </row>
    <row r="30" spans="1:8" ht="18" customHeight="1">
      <c r="A30" s="11"/>
      <c r="B30" s="11"/>
      <c r="C30" s="18" t="s">
        <v>56</v>
      </c>
      <c r="D30" s="54" t="s">
        <v>57</v>
      </c>
      <c r="E30" s="19" t="s">
        <v>58</v>
      </c>
      <c r="F30" s="19"/>
      <c r="G30" s="19"/>
      <c r="H30" s="20"/>
    </row>
    <row r="31" spans="1:8" ht="52" customHeight="1">
      <c r="A31" s="11"/>
      <c r="B31" s="11"/>
      <c r="C31" s="11" t="s">
        <v>59</v>
      </c>
      <c r="D31" s="70">
        <v>6.8400000000000002E-2</v>
      </c>
      <c r="E31" s="82" t="s">
        <v>60</v>
      </c>
      <c r="F31" s="82"/>
      <c r="G31" s="82"/>
      <c r="H31" s="82"/>
    </row>
    <row r="32" spans="1:8" ht="52" customHeight="1">
      <c r="A32" s="11"/>
      <c r="B32" s="11"/>
      <c r="C32" s="11" t="s">
        <v>61</v>
      </c>
      <c r="D32" s="70">
        <v>7.0800000000000002E-2</v>
      </c>
      <c r="E32" s="82" t="s">
        <v>62</v>
      </c>
      <c r="F32" s="82"/>
      <c r="G32" s="82"/>
      <c r="H32" s="82"/>
    </row>
    <row r="33" spans="1:8" ht="52" customHeight="1">
      <c r="A33" s="11"/>
      <c r="B33" s="11"/>
      <c r="C33" s="11" t="s">
        <v>63</v>
      </c>
      <c r="D33" s="72">
        <v>0.72</v>
      </c>
      <c r="E33" s="82" t="s">
        <v>64</v>
      </c>
      <c r="F33" s="82"/>
      <c r="G33" s="82"/>
      <c r="H33" s="82"/>
    </row>
    <row r="34" spans="1:8" ht="52" customHeight="1">
      <c r="A34" s="11"/>
      <c r="B34" s="11"/>
      <c r="C34" s="11" t="s">
        <v>65</v>
      </c>
      <c r="D34" s="72">
        <v>0.79</v>
      </c>
      <c r="E34" s="82" t="s">
        <v>66</v>
      </c>
      <c r="F34" s="82"/>
      <c r="G34" s="82"/>
      <c r="H34" s="82"/>
    </row>
    <row r="35" spans="1:8" ht="30" customHeight="1">
      <c r="A35" s="11"/>
      <c r="B35" s="11"/>
      <c r="C35" s="11" t="s">
        <v>67</v>
      </c>
      <c r="D35" s="70">
        <v>0.81599999999999995</v>
      </c>
      <c r="E35" s="82" t="s">
        <v>68</v>
      </c>
      <c r="F35" s="82"/>
      <c r="G35" s="82"/>
      <c r="H35" s="82"/>
    </row>
    <row r="36" spans="1:8" ht="30" customHeight="1">
      <c r="A36" s="11"/>
      <c r="B36" s="11"/>
      <c r="C36" s="11" t="s">
        <v>69</v>
      </c>
      <c r="D36" s="70">
        <v>0.184</v>
      </c>
      <c r="E36" s="82" t="s">
        <v>70</v>
      </c>
      <c r="F36" s="82"/>
      <c r="G36" s="82"/>
      <c r="H36" s="82"/>
    </row>
    <row r="37" spans="1:8" ht="30" customHeight="1">
      <c r="A37" s="11"/>
      <c r="B37" s="11"/>
      <c r="C37" s="11" t="s">
        <v>71</v>
      </c>
      <c r="D37" s="73">
        <f>D33*D35+D34*D36</f>
        <v>0.73287999999999998</v>
      </c>
      <c r="E37" s="82" t="s">
        <v>72</v>
      </c>
      <c r="F37" s="82"/>
      <c r="G37" s="82"/>
      <c r="H37" s="82"/>
    </row>
    <row r="38" spans="1:8" ht="30" customHeight="1">
      <c r="A38" s="11"/>
      <c r="B38" s="11"/>
      <c r="C38" s="11" t="s">
        <v>73</v>
      </c>
      <c r="D38" s="59">
        <f>D31+D37*D32</f>
        <v>0.120287904</v>
      </c>
      <c r="E38" s="82" t="s">
        <v>74</v>
      </c>
      <c r="F38" s="82"/>
      <c r="G38" s="82"/>
      <c r="H38" s="82"/>
    </row>
    <row r="39" spans="1:8" ht="30" customHeight="1">
      <c r="A39" s="11"/>
      <c r="B39" s="11"/>
      <c r="C39" s="11" t="s">
        <v>75</v>
      </c>
      <c r="D39" s="70">
        <v>8.5000000000000006E-2</v>
      </c>
      <c r="E39" s="82" t="s">
        <v>76</v>
      </c>
      <c r="F39" s="82"/>
      <c r="G39" s="82"/>
      <c r="H39" s="82"/>
    </row>
    <row r="40" spans="1:8" ht="30" customHeight="1">
      <c r="A40" s="11"/>
      <c r="B40" s="11"/>
      <c r="C40" s="11" t="s">
        <v>16</v>
      </c>
      <c r="D40" s="59">
        <f>'P&amp;L'!H29</f>
        <v>0.25584533322088915</v>
      </c>
      <c r="E40" s="82" t="s">
        <v>77</v>
      </c>
      <c r="F40" s="82"/>
      <c r="G40" s="82"/>
      <c r="H40" s="82"/>
    </row>
    <row r="41" spans="1:8" ht="30" customHeight="1">
      <c r="A41" s="11"/>
      <c r="B41" s="11"/>
      <c r="C41" s="11" t="s">
        <v>78</v>
      </c>
      <c r="D41" s="59">
        <f>D39*(1-D40)</f>
        <v>6.325314667622442E-2</v>
      </c>
      <c r="E41" s="82" t="s">
        <v>79</v>
      </c>
      <c r="F41" s="82"/>
      <c r="G41" s="82"/>
      <c r="H41" s="82"/>
    </row>
    <row r="42" spans="1:8" ht="30" customHeight="1">
      <c r="A42" s="11"/>
      <c r="B42" s="11"/>
      <c r="C42" s="11" t="s">
        <v>80</v>
      </c>
      <c r="D42" s="74">
        <v>1566.9</v>
      </c>
      <c r="E42" s="82" t="s">
        <v>81</v>
      </c>
      <c r="F42" s="82"/>
      <c r="G42" s="82"/>
      <c r="H42" s="82"/>
    </row>
    <row r="43" spans="1:8" ht="30" customHeight="1">
      <c r="A43" s="11"/>
      <c r="B43" s="11"/>
      <c r="C43" s="11" t="s">
        <v>82</v>
      </c>
      <c r="D43" s="4">
        <f>'Valuation Bridge'!E34</f>
        <v>101.99583506872136</v>
      </c>
      <c r="E43" s="82" t="s">
        <v>83</v>
      </c>
      <c r="F43" s="82"/>
      <c r="G43" s="82"/>
      <c r="H43" s="82"/>
    </row>
    <row r="44" spans="1:8" ht="30" customHeight="1">
      <c r="A44" s="11"/>
      <c r="B44" s="11"/>
      <c r="C44" s="11" t="s">
        <v>84</v>
      </c>
      <c r="D44" s="4">
        <f>D42*D43</f>
        <v>159817.27396917951</v>
      </c>
      <c r="E44" s="82" t="s">
        <v>85</v>
      </c>
      <c r="F44" s="82"/>
      <c r="G44" s="82"/>
      <c r="H44" s="82"/>
    </row>
    <row r="45" spans="1:8" ht="30" customHeight="1">
      <c r="A45" s="11"/>
      <c r="B45" s="11"/>
      <c r="C45" s="11" t="s">
        <v>86</v>
      </c>
      <c r="D45" s="4">
        <f>'Valuation Bridge'!E24</f>
        <v>417.20999999999992</v>
      </c>
      <c r="E45" s="82" t="s">
        <v>87</v>
      </c>
      <c r="F45" s="82"/>
      <c r="G45" s="82"/>
      <c r="H45" s="82"/>
    </row>
    <row r="46" spans="1:8" ht="30" customHeight="1">
      <c r="A46" s="11"/>
      <c r="B46" s="11"/>
      <c r="C46" s="11" t="s">
        <v>88</v>
      </c>
      <c r="D46" s="59">
        <f>D44/(D44+D45)</f>
        <v>0.99739625335530002</v>
      </c>
      <c r="E46" s="82" t="s">
        <v>89</v>
      </c>
      <c r="F46" s="82"/>
      <c r="G46" s="82"/>
      <c r="H46" s="82"/>
    </row>
    <row r="47" spans="1:8" ht="30" customHeight="1">
      <c r="A47" s="11"/>
      <c r="B47" s="11"/>
      <c r="C47" s="11" t="s">
        <v>90</v>
      </c>
      <c r="D47" s="59">
        <f>D45/(D44+D45)</f>
        <v>2.6037466447000803E-3</v>
      </c>
      <c r="E47" s="82" t="s">
        <v>89</v>
      </c>
      <c r="F47" s="82"/>
      <c r="G47" s="82"/>
      <c r="H47" s="82"/>
    </row>
    <row r="48" spans="1:8" ht="30" customHeight="1">
      <c r="A48" s="11"/>
      <c r="B48" s="11"/>
      <c r="C48" s="11" t="s">
        <v>91</v>
      </c>
      <c r="D48" s="59">
        <f>D38*D46+D41*D47</f>
        <v>0.12013939994198695</v>
      </c>
      <c r="E48" s="82" t="s">
        <v>92</v>
      </c>
      <c r="F48" s="82"/>
      <c r="G48" s="82"/>
      <c r="H48" s="82"/>
    </row>
    <row r="49" spans="1:8" ht="30" customHeight="1">
      <c r="A49" s="11"/>
      <c r="B49" s="11"/>
      <c r="C49" s="11" t="s">
        <v>53</v>
      </c>
      <c r="D49" s="70">
        <v>0.05</v>
      </c>
      <c r="E49" s="82" t="s">
        <v>93</v>
      </c>
      <c r="F49" s="82"/>
      <c r="G49" s="82"/>
      <c r="H49" s="82"/>
    </row>
    <row r="50" spans="1:8" ht="18" customHeight="1">
      <c r="A50" s="11"/>
      <c r="B50" s="11"/>
      <c r="C50" s="11"/>
      <c r="D50" s="11"/>
      <c r="E50" s="11"/>
      <c r="F50" s="11"/>
      <c r="G50" s="11"/>
      <c r="H50" s="11"/>
    </row>
    <row r="51" spans="1:8" ht="32" customHeight="1">
      <c r="A51" s="11"/>
      <c r="B51" s="11"/>
      <c r="C51" s="80" t="s">
        <v>94</v>
      </c>
      <c r="D51" s="80"/>
      <c r="E51" s="80"/>
      <c r="F51" s="80"/>
      <c r="G51" s="80"/>
      <c r="H51" s="80"/>
    </row>
  </sheetData>
  <mergeCells count="20"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46:H46"/>
    <mergeCell ref="E47:H47"/>
    <mergeCell ref="E48:H48"/>
    <mergeCell ref="E49:H49"/>
    <mergeCell ref="C51:H51"/>
  </mergeCells>
  <dataValidations count="1">
    <dataValidation type="list" sqref="D12" xr:uid="{00000000-0002-0000-0100-000000000000}">
      <formula1>"Base"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04040"/>
  </sheetPr>
  <dimension ref="A1:I39"/>
  <sheetViews>
    <sheetView workbookViewId="0">
      <pane xSplit="3" ySplit="5" topLeftCell="D20" activePane="bottomRight" state="frozen"/>
      <selection pane="topRight"/>
      <selection pane="bottomLeft"/>
      <selection pane="bottomRight" activeCell="H26" sqref="H26"/>
    </sheetView>
  </sheetViews>
  <sheetFormatPr defaultRowHeight="14"/>
  <cols>
    <col min="1" max="2" width="2.5" customWidth="1"/>
    <col min="3" max="3" width="49" customWidth="1"/>
    <col min="4" max="9" width="13" customWidth="1"/>
  </cols>
  <sheetData>
    <row r="1" spans="1:9" ht="18" customHeight="1">
      <c r="A1" s="11"/>
      <c r="B1" s="11"/>
      <c r="C1" s="11"/>
      <c r="D1" s="11"/>
      <c r="E1" s="11"/>
      <c r="F1" s="11"/>
      <c r="G1" s="11"/>
      <c r="H1" s="11"/>
      <c r="I1" s="11"/>
    </row>
    <row r="2" spans="1:9" ht="18" customHeight="1">
      <c r="A2" s="11"/>
      <c r="B2" s="11"/>
      <c r="C2" s="12" t="s">
        <v>95</v>
      </c>
      <c r="D2" s="12"/>
      <c r="E2" s="12"/>
      <c r="F2" s="12"/>
      <c r="G2" s="12"/>
      <c r="H2" s="12"/>
      <c r="I2" s="12"/>
    </row>
    <row r="3" spans="1:9" ht="18" customHeight="1">
      <c r="A3" s="11"/>
      <c r="B3" s="11"/>
      <c r="C3" s="13" t="s">
        <v>96</v>
      </c>
      <c r="D3" s="13"/>
      <c r="E3" s="13"/>
      <c r="F3" s="13"/>
      <c r="G3" s="13"/>
      <c r="H3" s="13"/>
      <c r="I3" s="13"/>
    </row>
    <row r="4" spans="1:9" ht="18" customHeight="1">
      <c r="A4" s="11"/>
      <c r="B4" s="11"/>
      <c r="C4" s="14"/>
      <c r="D4" s="14"/>
      <c r="E4" s="14"/>
      <c r="F4" s="14"/>
      <c r="G4" s="14"/>
      <c r="H4" s="14"/>
      <c r="I4" s="14"/>
    </row>
    <row r="5" spans="1:9" ht="18" customHeight="1">
      <c r="A5" s="11"/>
      <c r="B5" s="11"/>
      <c r="C5" s="18" t="s">
        <v>3</v>
      </c>
      <c r="D5" s="1" t="s">
        <v>97</v>
      </c>
      <c r="E5" s="1" t="s">
        <v>98</v>
      </c>
      <c r="F5" s="1" t="s">
        <v>99</v>
      </c>
      <c r="G5" s="1" t="s">
        <v>100</v>
      </c>
      <c r="H5" s="1" t="s">
        <v>101</v>
      </c>
      <c r="I5" s="2" t="s">
        <v>102</v>
      </c>
    </row>
    <row r="6" spans="1:9" ht="18" customHeight="1">
      <c r="A6" s="11"/>
      <c r="B6" s="11"/>
      <c r="C6" s="15" t="s">
        <v>103</v>
      </c>
      <c r="D6" s="16"/>
      <c r="E6" s="16"/>
      <c r="F6" s="16"/>
      <c r="G6" s="16"/>
      <c r="H6" s="16"/>
      <c r="I6" s="17"/>
    </row>
    <row r="7" spans="1:9" ht="18" customHeight="1">
      <c r="A7" s="11"/>
      <c r="B7" s="11"/>
      <c r="C7" s="11" t="s">
        <v>9</v>
      </c>
      <c r="D7" s="4">
        <f>'P&amp;L'!H7</f>
        <v>14600.83</v>
      </c>
      <c r="E7" s="4">
        <f>D7*(1+Assumptions!D16)</f>
        <v>16133.917149999999</v>
      </c>
      <c r="F7" s="4">
        <f>E7*(1+Assumptions!E16)</f>
        <v>17747.308864999999</v>
      </c>
      <c r="G7" s="4">
        <f>F7*(1+Assumptions!F16)</f>
        <v>19433.303207174999</v>
      </c>
      <c r="H7" s="4">
        <f>G7*(1+Assumptions!G16)</f>
        <v>21182.300495820749</v>
      </c>
      <c r="I7" s="4">
        <f>H7*(1+Assumptions!H16)</f>
        <v>22982.796037965512</v>
      </c>
    </row>
    <row r="8" spans="1:9" ht="18" customHeight="1">
      <c r="A8" s="11"/>
      <c r="B8" s="11"/>
      <c r="C8" s="11" t="s">
        <v>46</v>
      </c>
      <c r="D8" s="59">
        <f>'P&amp;L'!H8</f>
        <v>0.11114806271693745</v>
      </c>
      <c r="E8" s="59">
        <f>Assumptions!D16</f>
        <v>0.105</v>
      </c>
      <c r="F8" s="59">
        <f>Assumptions!E16</f>
        <v>0.1</v>
      </c>
      <c r="G8" s="59">
        <f>Assumptions!F16</f>
        <v>9.5000000000000001E-2</v>
      </c>
      <c r="H8" s="59">
        <f>Assumptions!G16</f>
        <v>0.09</v>
      </c>
      <c r="I8" s="59">
        <f>Assumptions!H16</f>
        <v>8.5000000000000006E-2</v>
      </c>
    </row>
    <row r="9" spans="1:9" ht="18" customHeight="1">
      <c r="A9" s="11"/>
      <c r="B9" s="11"/>
      <c r="C9" s="11" t="s">
        <v>13</v>
      </c>
      <c r="D9" s="59">
        <f>'P&amp;L'!H38</f>
        <v>0.24101369579674584</v>
      </c>
      <c r="E9" s="59">
        <f>Assumptions!D17</f>
        <v>0.24299999999999999</v>
      </c>
      <c r="F9" s="59">
        <f>Assumptions!E17</f>
        <v>0.245</v>
      </c>
      <c r="G9" s="59">
        <f>Assumptions!F17</f>
        <v>0.247</v>
      </c>
      <c r="H9" s="59">
        <f>Assumptions!G17</f>
        <v>0.248</v>
      </c>
      <c r="I9" s="59">
        <f>Assumptions!H17</f>
        <v>0.25</v>
      </c>
    </row>
    <row r="10" spans="1:9" ht="18" customHeight="1">
      <c r="A10" s="11"/>
      <c r="B10" s="11"/>
      <c r="C10" s="34" t="s">
        <v>12</v>
      </c>
      <c r="D10" s="5">
        <f>'P&amp;L'!H37</f>
        <v>3519.0000000000005</v>
      </c>
      <c r="E10" s="5">
        <f>E7*E9</f>
        <v>3920.5418674499997</v>
      </c>
      <c r="F10" s="5">
        <f>F7*F9</f>
        <v>4348.0906719249997</v>
      </c>
      <c r="G10" s="5">
        <f>G7*G9</f>
        <v>4800.0258921722243</v>
      </c>
      <c r="H10" s="5">
        <f>H7*H9</f>
        <v>5253.2105229635454</v>
      </c>
      <c r="I10" s="5">
        <f>I7*I9</f>
        <v>5745.6990094913781</v>
      </c>
    </row>
    <row r="11" spans="1:9" ht="18" customHeight="1">
      <c r="A11" s="11"/>
      <c r="B11" s="11"/>
      <c r="C11" s="11" t="s">
        <v>47</v>
      </c>
      <c r="D11" s="59">
        <f>-'P&amp;L'!H17/'P&amp;L'!H7</f>
        <v>2.7033394676877959E-2</v>
      </c>
      <c r="E11" s="59">
        <f>Assumptions!D18</f>
        <v>2.7E-2</v>
      </c>
      <c r="F11" s="59">
        <f>Assumptions!E18</f>
        <v>2.7E-2</v>
      </c>
      <c r="G11" s="59">
        <f>Assumptions!F18</f>
        <v>2.7E-2</v>
      </c>
      <c r="H11" s="59">
        <f>Assumptions!G18</f>
        <v>2.7E-2</v>
      </c>
      <c r="I11" s="59">
        <f>Assumptions!H18</f>
        <v>2.7E-2</v>
      </c>
    </row>
    <row r="12" spans="1:9" ht="18" customHeight="1">
      <c r="A12" s="11"/>
      <c r="B12" s="11"/>
      <c r="C12" s="11" t="s">
        <v>104</v>
      </c>
      <c r="D12" s="4">
        <f>-'P&amp;L'!H17</f>
        <v>394.71</v>
      </c>
      <c r="E12" s="4">
        <f>E7*E11</f>
        <v>435.61576305</v>
      </c>
      <c r="F12" s="4">
        <f>F7*F11</f>
        <v>479.17733935499996</v>
      </c>
      <c r="G12" s="4">
        <f>G7*G11</f>
        <v>524.6991865937249</v>
      </c>
      <c r="H12" s="4">
        <f>H7*H11</f>
        <v>571.92211338716027</v>
      </c>
      <c r="I12" s="4">
        <f>I7*I11</f>
        <v>620.53549302506883</v>
      </c>
    </row>
    <row r="13" spans="1:9" ht="18" customHeight="1">
      <c r="A13" s="11"/>
      <c r="B13" s="11"/>
      <c r="C13" s="34" t="s">
        <v>14</v>
      </c>
      <c r="D13" s="5">
        <f>'P&amp;L'!H39</f>
        <v>3124.2900000000004</v>
      </c>
      <c r="E13" s="5">
        <f>E10-E12</f>
        <v>3484.9261043999995</v>
      </c>
      <c r="F13" s="5">
        <f>F10-F12</f>
        <v>3868.9133325699995</v>
      </c>
      <c r="G13" s="5">
        <f>G10-G12</f>
        <v>4275.3267055784991</v>
      </c>
      <c r="H13" s="5">
        <f>H10-H12</f>
        <v>4681.2884095763848</v>
      </c>
      <c r="I13" s="5">
        <f>I10-I12</f>
        <v>5125.1635164663094</v>
      </c>
    </row>
    <row r="14" spans="1:9" ht="18" customHeight="1">
      <c r="A14" s="11"/>
      <c r="B14" s="11"/>
      <c r="C14" s="11" t="s">
        <v>105</v>
      </c>
      <c r="D14" s="59">
        <f>'P&amp;L'!H40</f>
        <v>0.21398030111986788</v>
      </c>
      <c r="E14" s="59">
        <f>E13/E7</f>
        <v>0.21599999999999997</v>
      </c>
      <c r="F14" s="59">
        <f>F13/F7</f>
        <v>0.21799999999999997</v>
      </c>
      <c r="G14" s="59">
        <f>G13/G7</f>
        <v>0.21999999999999997</v>
      </c>
      <c r="H14" s="59">
        <f>H13/H7</f>
        <v>0.22099999999999995</v>
      </c>
      <c r="I14" s="59">
        <f>I13/I7</f>
        <v>0.223</v>
      </c>
    </row>
    <row r="15" spans="1:9" ht="18" customHeight="1">
      <c r="A15" s="11"/>
      <c r="B15" s="11"/>
      <c r="C15" s="11" t="s">
        <v>16</v>
      </c>
      <c r="D15" s="59">
        <f>'P&amp;L'!H29</f>
        <v>0.25584533322088915</v>
      </c>
      <c r="E15" s="59">
        <f>Assumptions!D19</f>
        <v>0.25600000000000001</v>
      </c>
      <c r="F15" s="59">
        <f>Assumptions!E19</f>
        <v>0.25600000000000001</v>
      </c>
      <c r="G15" s="59">
        <f>Assumptions!F19</f>
        <v>0.25600000000000001</v>
      </c>
      <c r="H15" s="59">
        <f>Assumptions!G19</f>
        <v>0.25600000000000001</v>
      </c>
      <c r="I15" s="59">
        <f>Assumptions!H19</f>
        <v>0.25600000000000001</v>
      </c>
    </row>
    <row r="16" spans="1:9" ht="18" customHeight="1">
      <c r="A16" s="11"/>
      <c r="B16" s="11"/>
      <c r="C16" s="23" t="s">
        <v>106</v>
      </c>
      <c r="D16" s="6">
        <f t="shared" ref="D16:I16" si="0">D13*(1-D15)</f>
        <v>2324.9549838713083</v>
      </c>
      <c r="E16" s="6">
        <f t="shared" si="0"/>
        <v>2592.7850216735997</v>
      </c>
      <c r="F16" s="6">
        <f t="shared" si="0"/>
        <v>2878.4715194320797</v>
      </c>
      <c r="G16" s="6">
        <f t="shared" si="0"/>
        <v>3180.8430689504034</v>
      </c>
      <c r="H16" s="6">
        <f t="shared" si="0"/>
        <v>3482.8785767248301</v>
      </c>
      <c r="I16" s="6">
        <f t="shared" si="0"/>
        <v>3813.1216562509339</v>
      </c>
    </row>
    <row r="17" spans="1:9" ht="18" customHeight="1">
      <c r="A17" s="11"/>
      <c r="B17" s="11"/>
      <c r="C17" s="11"/>
      <c r="D17" s="4"/>
      <c r="E17" s="4"/>
      <c r="F17" s="4"/>
      <c r="G17" s="4"/>
      <c r="H17" s="4"/>
      <c r="I17" s="4"/>
    </row>
    <row r="18" spans="1:9" ht="18" customHeight="1">
      <c r="A18" s="11"/>
      <c r="B18" s="11"/>
      <c r="C18" s="36" t="s">
        <v>107</v>
      </c>
      <c r="D18" s="7"/>
      <c r="E18" s="7"/>
      <c r="F18" s="7"/>
      <c r="G18" s="7"/>
      <c r="H18" s="7"/>
      <c r="I18" s="68"/>
    </row>
    <row r="19" spans="1:9" ht="18" customHeight="1">
      <c r="A19" s="11"/>
      <c r="B19" s="11"/>
      <c r="C19" s="11" t="s">
        <v>108</v>
      </c>
      <c r="D19" s="75">
        <f>FCF!H23</f>
        <v>54.524400325186988</v>
      </c>
      <c r="E19" s="75">
        <f>Assumptions!D21</f>
        <v>54</v>
      </c>
      <c r="F19" s="75">
        <f>Assumptions!E21</f>
        <v>53</v>
      </c>
      <c r="G19" s="75">
        <f>Assumptions!F21</f>
        <v>52</v>
      </c>
      <c r="H19" s="75">
        <f>Assumptions!G21</f>
        <v>51</v>
      </c>
      <c r="I19" s="75">
        <f>Assumptions!H21</f>
        <v>50</v>
      </c>
    </row>
    <row r="20" spans="1:9" ht="18" customHeight="1">
      <c r="A20" s="11"/>
      <c r="B20" s="11"/>
      <c r="C20" s="11" t="s">
        <v>109</v>
      </c>
      <c r="D20" s="75">
        <f>FCF!H24</f>
        <v>97.737573296553421</v>
      </c>
      <c r="E20" s="75">
        <f>Assumptions!D22</f>
        <v>98</v>
      </c>
      <c r="F20" s="75">
        <f>Assumptions!E22</f>
        <v>97</v>
      </c>
      <c r="G20" s="75">
        <f>Assumptions!F22</f>
        <v>96</v>
      </c>
      <c r="H20" s="75">
        <f>Assumptions!G22</f>
        <v>95</v>
      </c>
      <c r="I20" s="75">
        <f>Assumptions!H22</f>
        <v>95</v>
      </c>
    </row>
    <row r="21" spans="1:9" ht="18" customHeight="1">
      <c r="A21" s="11"/>
      <c r="B21" s="11"/>
      <c r="C21" s="11" t="s">
        <v>110</v>
      </c>
      <c r="D21" s="75">
        <f>FCF!H25</f>
        <v>86.433291467934438</v>
      </c>
      <c r="E21" s="75">
        <f>Assumptions!D23</f>
        <v>86</v>
      </c>
      <c r="F21" s="75">
        <f>Assumptions!E23</f>
        <v>86</v>
      </c>
      <c r="G21" s="75">
        <f>Assumptions!F23</f>
        <v>86</v>
      </c>
      <c r="H21" s="75">
        <f>Assumptions!G23</f>
        <v>86</v>
      </c>
      <c r="I21" s="75">
        <f>Assumptions!H23</f>
        <v>86</v>
      </c>
    </row>
    <row r="22" spans="1:9" ht="18" customHeight="1">
      <c r="A22" s="11"/>
      <c r="B22" s="11"/>
      <c r="C22" s="11" t="s">
        <v>111</v>
      </c>
      <c r="D22" s="59">
        <f>FCF!H22/'P&amp;L'!H7</f>
        <v>0.44443021389879894</v>
      </c>
      <c r="E22" s="59">
        <f>$D$22</f>
        <v>0.44443021389879894</v>
      </c>
      <c r="F22" s="59">
        <f>$D$22</f>
        <v>0.44443021389879894</v>
      </c>
      <c r="G22" s="59">
        <f>$D$22</f>
        <v>0.44443021389879894</v>
      </c>
      <c r="H22" s="59">
        <f>$D$22</f>
        <v>0.44443021389879894</v>
      </c>
      <c r="I22" s="59">
        <f>$D$22</f>
        <v>0.44443021389879894</v>
      </c>
    </row>
    <row r="23" spans="1:9" ht="18" customHeight="1">
      <c r="A23" s="11"/>
      <c r="B23" s="11"/>
      <c r="C23" s="11" t="s">
        <v>112</v>
      </c>
      <c r="D23" s="4">
        <f>FCF!H22</f>
        <v>6489.05</v>
      </c>
      <c r="E23" s="4">
        <f>E7*E22</f>
        <v>7170.4002500000006</v>
      </c>
      <c r="F23" s="4">
        <f>F7*F22</f>
        <v>7887.4402749999999</v>
      </c>
      <c r="G23" s="4">
        <f>G7*G22</f>
        <v>8636.747101125</v>
      </c>
      <c r="H23" s="4">
        <f>H7*H22</f>
        <v>9414.0543402262501</v>
      </c>
      <c r="I23" s="4">
        <f>I7*I22</f>
        <v>10214.248959145481</v>
      </c>
    </row>
    <row r="24" spans="1:9" ht="18" customHeight="1">
      <c r="A24" s="11"/>
      <c r="B24" s="11"/>
      <c r="C24" s="11" t="s">
        <v>113</v>
      </c>
      <c r="D24" s="4">
        <f>'Balance Sheet'!H24</f>
        <v>2181.1</v>
      </c>
      <c r="E24" s="4">
        <f>E7*E19/365</f>
        <v>2386.9356879452057</v>
      </c>
      <c r="F24" s="4">
        <f>F7*F19/365</f>
        <v>2577.0064927260273</v>
      </c>
      <c r="G24" s="4">
        <f>G7*G19/365</f>
        <v>2768.5801829399998</v>
      </c>
      <c r="H24" s="4">
        <f>H7*H19/365</f>
        <v>2959.7186994160502</v>
      </c>
      <c r="I24" s="4">
        <f>I7*I19/365</f>
        <v>3148.3282243788371</v>
      </c>
    </row>
    <row r="25" spans="1:9" ht="18" customHeight="1">
      <c r="A25" s="11"/>
      <c r="B25" s="11"/>
      <c r="C25" s="11" t="s">
        <v>114</v>
      </c>
      <c r="D25" s="4">
        <f>'Balance Sheet'!H22</f>
        <v>1737.6</v>
      </c>
      <c r="E25" s="4">
        <f>E23*E20/365</f>
        <v>1925.2033547945207</v>
      </c>
      <c r="F25" s="4">
        <f>F23*F20/365</f>
        <v>2096.1142648630139</v>
      </c>
      <c r="G25" s="4">
        <f>G23*G20/365</f>
        <v>2271.5827992</v>
      </c>
      <c r="H25" s="4">
        <f>H23*H20/365</f>
        <v>2450.2333214287501</v>
      </c>
      <c r="I25" s="4">
        <f>I23*I20/365</f>
        <v>2658.5031537501941</v>
      </c>
    </row>
    <row r="26" spans="1:9" ht="18" customHeight="1">
      <c r="A26" s="11"/>
      <c r="B26" s="11"/>
      <c r="C26" s="11" t="s">
        <v>115</v>
      </c>
      <c r="D26" s="4">
        <f>'Balance Sheet'!H60</f>
        <v>1536.6299999999999</v>
      </c>
      <c r="E26" s="4">
        <f>E23*E21/365</f>
        <v>1689.4641684931507</v>
      </c>
      <c r="F26" s="4">
        <f>F23*F21/365</f>
        <v>1858.4105853424655</v>
      </c>
      <c r="G26" s="4">
        <f>G23*G21/365</f>
        <v>2034.9595909500001</v>
      </c>
      <c r="H26" s="4">
        <f>H23*H21/365</f>
        <v>2218.1059541354998</v>
      </c>
      <c r="I26" s="4">
        <f>I23*I21/365</f>
        <v>2406.6449602370176</v>
      </c>
    </row>
    <row r="27" spans="1:9" ht="18" customHeight="1">
      <c r="A27" s="11"/>
      <c r="B27" s="11"/>
      <c r="C27" s="34" t="s">
        <v>116</v>
      </c>
      <c r="D27" s="5">
        <f t="shared" ref="D27:I27" si="1">D24+D25-D26</f>
        <v>2382.0699999999997</v>
      </c>
      <c r="E27" s="5">
        <f t="shared" si="1"/>
        <v>2622.6748742465757</v>
      </c>
      <c r="F27" s="5">
        <f t="shared" si="1"/>
        <v>2814.7101722465759</v>
      </c>
      <c r="G27" s="5">
        <f t="shared" si="1"/>
        <v>3005.2033911899998</v>
      </c>
      <c r="H27" s="5">
        <f t="shared" si="1"/>
        <v>3191.8460667093004</v>
      </c>
      <c r="I27" s="5">
        <f t="shared" si="1"/>
        <v>3400.1864178920132</v>
      </c>
    </row>
    <row r="28" spans="1:9" ht="18" customHeight="1">
      <c r="A28" s="11"/>
      <c r="B28" s="11"/>
      <c r="C28" s="11" t="s">
        <v>117</v>
      </c>
      <c r="D28" s="4">
        <f>FCF!H20</f>
        <v>275.88000000000011</v>
      </c>
      <c r="E28" s="4">
        <f>E27-D27</f>
        <v>240.60487424657595</v>
      </c>
      <c r="F28" s="4">
        <f>F27-E27</f>
        <v>192.03529800000024</v>
      </c>
      <c r="G28" s="4">
        <f>G27-F27</f>
        <v>190.49321894342393</v>
      </c>
      <c r="H28" s="4">
        <f>H27-G27</f>
        <v>186.64267551930061</v>
      </c>
      <c r="I28" s="4">
        <f>I27-H27</f>
        <v>208.34035118271277</v>
      </c>
    </row>
    <row r="29" spans="1:9" ht="18" customHeight="1">
      <c r="A29" s="11"/>
      <c r="B29" s="11"/>
      <c r="C29" s="11"/>
      <c r="D29" s="4"/>
      <c r="E29" s="4"/>
      <c r="F29" s="4"/>
      <c r="G29" s="4"/>
      <c r="H29" s="4"/>
      <c r="I29" s="4"/>
    </row>
    <row r="30" spans="1:9" ht="18" customHeight="1">
      <c r="A30" s="11"/>
      <c r="B30" s="11"/>
      <c r="C30" s="15" t="s">
        <v>118</v>
      </c>
      <c r="D30" s="56"/>
      <c r="E30" s="56"/>
      <c r="F30" s="56"/>
      <c r="G30" s="56"/>
      <c r="H30" s="56"/>
      <c r="I30" s="57"/>
    </row>
    <row r="31" spans="1:9" ht="18" customHeight="1">
      <c r="A31" s="11"/>
      <c r="B31" s="11"/>
      <c r="C31" s="11" t="s">
        <v>119</v>
      </c>
      <c r="D31" s="59">
        <f>-'Cash Flow'!H45/'P&amp;L'!H7</f>
        <v>4.0598376941584829E-2</v>
      </c>
      <c r="E31" s="59">
        <f>Assumptions!D20</f>
        <v>0.04</v>
      </c>
      <c r="F31" s="59">
        <f>Assumptions!E20</f>
        <v>0.04</v>
      </c>
      <c r="G31" s="59">
        <f>Assumptions!F20</f>
        <v>3.9E-2</v>
      </c>
      <c r="H31" s="59">
        <f>Assumptions!G20</f>
        <v>3.7999999999999999E-2</v>
      </c>
      <c r="I31" s="59">
        <f>Assumptions!H20</f>
        <v>3.7999999999999999E-2</v>
      </c>
    </row>
    <row r="32" spans="1:9" ht="18" customHeight="1">
      <c r="A32" s="11"/>
      <c r="B32" s="11"/>
      <c r="C32" s="11" t="s">
        <v>120</v>
      </c>
      <c r="D32" s="4">
        <f>-'Cash Flow'!H45</f>
        <v>592.77</v>
      </c>
      <c r="E32" s="4">
        <f>E7*E31</f>
        <v>645.35668599999997</v>
      </c>
      <c r="F32" s="4">
        <f>F7*F31</f>
        <v>709.89235459999998</v>
      </c>
      <c r="G32" s="4">
        <f>G7*G31</f>
        <v>757.89882507982497</v>
      </c>
      <c r="H32" s="4">
        <f>H7*H31</f>
        <v>804.92741884118846</v>
      </c>
      <c r="I32" s="4">
        <f>I7*I31</f>
        <v>873.34624944268944</v>
      </c>
    </row>
    <row r="33" spans="1:9" ht="18" customHeight="1">
      <c r="A33" s="11"/>
      <c r="B33" s="11"/>
      <c r="C33" s="11" t="s">
        <v>106</v>
      </c>
      <c r="D33" s="4">
        <f t="shared" ref="D33:I33" si="2">D16</f>
        <v>2324.9549838713083</v>
      </c>
      <c r="E33" s="4">
        <f t="shared" si="2"/>
        <v>2592.7850216735997</v>
      </c>
      <c r="F33" s="4">
        <f t="shared" si="2"/>
        <v>2878.4715194320797</v>
      </c>
      <c r="G33" s="4">
        <f t="shared" si="2"/>
        <v>3180.8430689504034</v>
      </c>
      <c r="H33" s="4">
        <f t="shared" si="2"/>
        <v>3482.8785767248301</v>
      </c>
      <c r="I33" s="4">
        <f t="shared" si="2"/>
        <v>3813.1216562509339</v>
      </c>
    </row>
    <row r="34" spans="1:9" ht="18" customHeight="1">
      <c r="A34" s="11"/>
      <c r="B34" s="11"/>
      <c r="C34" s="11" t="s">
        <v>104</v>
      </c>
      <c r="D34" s="4">
        <f t="shared" ref="D34:I34" si="3">D12</f>
        <v>394.71</v>
      </c>
      <c r="E34" s="4">
        <f t="shared" si="3"/>
        <v>435.61576305</v>
      </c>
      <c r="F34" s="4">
        <f t="shared" si="3"/>
        <v>479.17733935499996</v>
      </c>
      <c r="G34" s="4">
        <f t="shared" si="3"/>
        <v>524.6991865937249</v>
      </c>
      <c r="H34" s="4">
        <f t="shared" si="3"/>
        <v>571.92211338716027</v>
      </c>
      <c r="I34" s="4">
        <f t="shared" si="3"/>
        <v>620.53549302506883</v>
      </c>
    </row>
    <row r="35" spans="1:9" ht="18" customHeight="1">
      <c r="A35" s="11"/>
      <c r="B35" s="11"/>
      <c r="C35" s="11" t="s">
        <v>117</v>
      </c>
      <c r="D35" s="4">
        <f t="shared" ref="D35:I35" si="4">D28</f>
        <v>275.88000000000011</v>
      </c>
      <c r="E35" s="4">
        <f t="shared" si="4"/>
        <v>240.60487424657595</v>
      </c>
      <c r="F35" s="4">
        <f t="shared" si="4"/>
        <v>192.03529800000024</v>
      </c>
      <c r="G35" s="4">
        <f t="shared" si="4"/>
        <v>190.49321894342393</v>
      </c>
      <c r="H35" s="4">
        <f t="shared" si="4"/>
        <v>186.64267551930061</v>
      </c>
      <c r="I35" s="4">
        <f t="shared" si="4"/>
        <v>208.34035118271277</v>
      </c>
    </row>
    <row r="36" spans="1:9" ht="18" customHeight="1">
      <c r="A36" s="11"/>
      <c r="B36" s="11"/>
      <c r="C36" s="23" t="s">
        <v>121</v>
      </c>
      <c r="D36" s="6">
        <f>FCF!H12</f>
        <v>2276.0280660327626</v>
      </c>
      <c r="E36" s="6">
        <f>E33+E34-E32-E35</f>
        <v>2142.4392244770238</v>
      </c>
      <c r="F36" s="6">
        <f>F33+F34-F32-F35</f>
        <v>2455.7212061870796</v>
      </c>
      <c r="G36" s="6">
        <f>G33+G34-G32-G35</f>
        <v>2757.1502115208796</v>
      </c>
      <c r="H36" s="6">
        <f>H33+H34-H32-H35</f>
        <v>3063.2305957515009</v>
      </c>
      <c r="I36" s="6">
        <f>I33+I34-I32-I35</f>
        <v>3351.9705486506009</v>
      </c>
    </row>
    <row r="37" spans="1:9" ht="18" customHeight="1">
      <c r="A37" s="11"/>
      <c r="B37" s="11"/>
      <c r="C37" s="11" t="s">
        <v>18</v>
      </c>
      <c r="D37" s="59">
        <f t="shared" ref="D37:I37" si="5">D36/D7</f>
        <v>0.15588347142133444</v>
      </c>
      <c r="E37" s="59">
        <f t="shared" si="5"/>
        <v>0.13279101439274615</v>
      </c>
      <c r="F37" s="59">
        <f t="shared" si="5"/>
        <v>0.13837146943613976</v>
      </c>
      <c r="G37" s="59">
        <f t="shared" si="5"/>
        <v>0.1418775893180583</v>
      </c>
      <c r="H37" s="59">
        <f t="shared" si="5"/>
        <v>0.1446127438497945</v>
      </c>
      <c r="I37" s="59">
        <f t="shared" si="5"/>
        <v>0.14584694321410879</v>
      </c>
    </row>
    <row r="38" spans="1:9" ht="18" customHeight="1">
      <c r="A38" s="11"/>
      <c r="B38" s="11"/>
      <c r="C38" s="11"/>
      <c r="D38" s="11"/>
      <c r="E38" s="11"/>
      <c r="F38" s="11"/>
      <c r="G38" s="11"/>
      <c r="H38" s="11"/>
      <c r="I38" s="11"/>
    </row>
    <row r="39" spans="1:9" ht="30" customHeight="1">
      <c r="A39" s="11"/>
      <c r="B39" s="11"/>
      <c r="C39" s="80" t="s">
        <v>122</v>
      </c>
      <c r="D39" s="80"/>
      <c r="E39" s="80"/>
      <c r="F39" s="80"/>
      <c r="G39" s="80"/>
      <c r="H39" s="80"/>
      <c r="I39" s="80"/>
    </row>
  </sheetData>
  <mergeCells count="1">
    <mergeCell ref="C39:I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04040"/>
  </sheetPr>
  <dimension ref="A1:I39"/>
  <sheetViews>
    <sheetView workbookViewId="0">
      <pane xSplit="3" ySplit="5" topLeftCell="D13" activePane="bottomRight" state="frozen"/>
      <selection pane="topRight"/>
      <selection pane="bottomLeft"/>
      <selection pane="bottomRight" activeCell="D3" sqref="D3"/>
    </sheetView>
  </sheetViews>
  <sheetFormatPr defaultRowHeight="14"/>
  <cols>
    <col min="1" max="2" width="2.5" customWidth="1"/>
    <col min="3" max="3" width="46" customWidth="1"/>
    <col min="4" max="8" width="14" customWidth="1"/>
    <col min="9" max="9" width="20" customWidth="1"/>
  </cols>
  <sheetData>
    <row r="1" spans="1:9" ht="18" customHeight="1">
      <c r="A1" s="11"/>
      <c r="B1" s="11"/>
      <c r="C1" s="11"/>
      <c r="D1" s="11"/>
      <c r="E1" s="11"/>
      <c r="F1" s="11"/>
      <c r="G1" s="11"/>
      <c r="H1" s="11"/>
      <c r="I1" s="11"/>
    </row>
    <row r="2" spans="1:9" ht="18" customHeight="1">
      <c r="A2" s="11"/>
      <c r="B2" s="11"/>
      <c r="C2" s="12" t="s">
        <v>123</v>
      </c>
      <c r="D2" s="12"/>
      <c r="E2" s="12"/>
      <c r="F2" s="12"/>
      <c r="G2" s="12"/>
      <c r="H2" s="12"/>
      <c r="I2" s="12"/>
    </row>
    <row r="3" spans="1:9" ht="18" customHeight="1">
      <c r="A3" s="11"/>
      <c r="B3" s="11"/>
      <c r="C3" s="13" t="s">
        <v>124</v>
      </c>
      <c r="D3" s="13"/>
      <c r="E3" s="13"/>
      <c r="F3" s="13"/>
      <c r="G3" s="13"/>
      <c r="H3" s="13"/>
      <c r="I3" s="13"/>
    </row>
    <row r="4" spans="1:9" ht="18" customHeight="1">
      <c r="A4" s="11"/>
      <c r="B4" s="11"/>
      <c r="C4" s="14"/>
      <c r="D4" s="14"/>
      <c r="E4" s="14"/>
      <c r="F4" s="14"/>
      <c r="G4" s="14"/>
      <c r="H4" s="14"/>
      <c r="I4" s="14"/>
    </row>
    <row r="5" spans="1:9" ht="18" customHeight="1">
      <c r="A5" s="11"/>
      <c r="B5" s="11"/>
      <c r="C5" s="18" t="s">
        <v>3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102</v>
      </c>
      <c r="I5" s="2" t="s">
        <v>125</v>
      </c>
    </row>
    <row r="6" spans="1:9" ht="18" customHeight="1">
      <c r="A6" s="11"/>
      <c r="B6" s="11"/>
      <c r="C6" s="15" t="s">
        <v>126</v>
      </c>
      <c r="D6" s="16"/>
      <c r="E6" s="16"/>
      <c r="F6" s="16"/>
      <c r="G6" s="16"/>
      <c r="H6" s="16"/>
      <c r="I6" s="17"/>
    </row>
    <row r="7" spans="1:9" ht="18" customHeight="1">
      <c r="A7" s="11"/>
      <c r="B7" s="11"/>
      <c r="C7" s="11" t="s">
        <v>121</v>
      </c>
      <c r="D7" s="4">
        <f>Forecast!E36</f>
        <v>2142.4392244770238</v>
      </c>
      <c r="E7" s="4">
        <f>Forecast!F36</f>
        <v>2455.7212061870796</v>
      </c>
      <c r="F7" s="4">
        <f>Forecast!G36</f>
        <v>2757.1502115208796</v>
      </c>
      <c r="G7" s="4">
        <f>Forecast!H36</f>
        <v>3063.2305957515009</v>
      </c>
      <c r="H7" s="4">
        <f>Forecast!I36</f>
        <v>3351.9705486506009</v>
      </c>
      <c r="I7" s="4">
        <f>H7*(1+Assumptions!$D$49)</f>
        <v>3519.5690760831312</v>
      </c>
    </row>
    <row r="8" spans="1:9" ht="18" customHeight="1">
      <c r="A8" s="11"/>
      <c r="B8" s="11"/>
      <c r="C8" s="11" t="s">
        <v>127</v>
      </c>
      <c r="D8" s="4">
        <v>1</v>
      </c>
      <c r="E8" s="4">
        <v>2</v>
      </c>
      <c r="F8" s="4">
        <v>3</v>
      </c>
      <c r="G8" s="4">
        <v>4</v>
      </c>
      <c r="H8" s="4">
        <v>5</v>
      </c>
      <c r="I8" s="4"/>
    </row>
    <row r="9" spans="1:9" ht="18" customHeight="1">
      <c r="A9" s="11"/>
      <c r="B9" s="11"/>
      <c r="C9" s="11" t="s">
        <v>128</v>
      </c>
      <c r="D9" s="4">
        <f>1/(1+Assumptions!$D$48)^1</f>
        <v>0.8927460279066971</v>
      </c>
      <c r="E9" s="4">
        <f>1/(1+Assumptions!$D$48)^2</f>
        <v>0.79699547034318519</v>
      </c>
      <c r="F9" s="4">
        <f>1/(1+Assumptions!$D$48)^3</f>
        <v>0.71151454040850848</v>
      </c>
      <c r="G9" s="4">
        <f>1/(1+Assumptions!$D$48)^4</f>
        <v>0.63520177974755498</v>
      </c>
      <c r="H9" s="4">
        <f>1/(1+Assumptions!$D$48)^5</f>
        <v>0.5670738657888944</v>
      </c>
      <c r="I9" s="4">
        <f>H9</f>
        <v>0.5670738657888944</v>
      </c>
    </row>
    <row r="10" spans="1:9" ht="18" customHeight="1">
      <c r="A10" s="11"/>
      <c r="B10" s="11"/>
      <c r="C10" s="34" t="s">
        <v>129</v>
      </c>
      <c r="D10" s="5">
        <f>D7*D9</f>
        <v>1912.6541076833676</v>
      </c>
      <c r="E10" s="5">
        <f>E7*E9</f>
        <v>1957.1986777568056</v>
      </c>
      <c r="F10" s="5">
        <f>F7*F9</f>
        <v>1961.7524655875006</v>
      </c>
      <c r="G10" s="5">
        <f>G7*G9</f>
        <v>1945.7695261985166</v>
      </c>
      <c r="H10" s="5">
        <f>H7*H9</f>
        <v>1900.8148970338175</v>
      </c>
      <c r="I10" s="5">
        <f>D15*I9</f>
        <v>28455.55627131544</v>
      </c>
    </row>
    <row r="11" spans="1:9" ht="18" customHeight="1">
      <c r="A11" s="11"/>
      <c r="B11" s="11"/>
      <c r="C11" s="11"/>
      <c r="D11" s="4"/>
      <c r="E11" s="4"/>
      <c r="F11" s="4"/>
      <c r="G11" s="4"/>
      <c r="H11" s="4"/>
      <c r="I11" s="4"/>
    </row>
    <row r="12" spans="1:9" ht="18" customHeight="1">
      <c r="A12" s="11"/>
      <c r="B12" s="11"/>
      <c r="C12" s="15" t="s">
        <v>130</v>
      </c>
      <c r="D12" s="56"/>
      <c r="E12" s="56"/>
      <c r="F12" s="56"/>
      <c r="G12" s="56"/>
      <c r="H12" s="56"/>
      <c r="I12" s="57"/>
    </row>
    <row r="13" spans="1:9" ht="18" customHeight="1">
      <c r="A13" s="11"/>
      <c r="B13" s="11"/>
      <c r="C13" s="11" t="s">
        <v>91</v>
      </c>
      <c r="D13" s="59">
        <f>Assumptions!D48</f>
        <v>0.12013939994198695</v>
      </c>
      <c r="E13" s="83" t="s">
        <v>131</v>
      </c>
      <c r="F13" s="83"/>
      <c r="G13" s="83"/>
      <c r="H13" s="83"/>
      <c r="I13" s="83"/>
    </row>
    <row r="14" spans="1:9" ht="18" customHeight="1">
      <c r="A14" s="11"/>
      <c r="B14" s="11"/>
      <c r="C14" s="11" t="s">
        <v>53</v>
      </c>
      <c r="D14" s="59">
        <f>Assumptions!D49</f>
        <v>0.05</v>
      </c>
      <c r="E14" s="83" t="s">
        <v>132</v>
      </c>
      <c r="F14" s="83"/>
      <c r="G14" s="83"/>
      <c r="H14" s="83"/>
      <c r="I14" s="83"/>
    </row>
    <row r="15" spans="1:9" ht="18" customHeight="1">
      <c r="A15" s="11"/>
      <c r="B15" s="11"/>
      <c r="C15" s="11" t="s">
        <v>133</v>
      </c>
      <c r="D15" s="4">
        <f>I7/(D13-D14)</f>
        <v>50179.629124204148</v>
      </c>
      <c r="E15" s="83" t="s">
        <v>134</v>
      </c>
      <c r="F15" s="83"/>
      <c r="G15" s="83"/>
      <c r="H15" s="83"/>
      <c r="I15" s="83"/>
    </row>
    <row r="16" spans="1:9" ht="18" customHeight="1">
      <c r="A16" s="11"/>
      <c r="B16" s="11"/>
      <c r="C16" s="11" t="s">
        <v>135</v>
      </c>
      <c r="D16" s="4">
        <f>I10</f>
        <v>28455.55627131544</v>
      </c>
      <c r="E16" s="83" t="s">
        <v>136</v>
      </c>
      <c r="F16" s="83"/>
      <c r="G16" s="83"/>
      <c r="H16" s="83"/>
      <c r="I16" s="83"/>
    </row>
    <row r="17" spans="1:9" ht="18" customHeight="1">
      <c r="A17" s="11"/>
      <c r="B17" s="11"/>
      <c r="C17" s="11" t="s">
        <v>137</v>
      </c>
      <c r="D17" s="4">
        <f>SUM(D10:H10)</f>
        <v>9678.1896742600075</v>
      </c>
      <c r="E17" s="83" t="s">
        <v>138</v>
      </c>
      <c r="F17" s="83"/>
      <c r="G17" s="83"/>
      <c r="H17" s="83"/>
      <c r="I17" s="83"/>
    </row>
    <row r="18" spans="1:9" ht="18" customHeight="1">
      <c r="A18" s="11"/>
      <c r="B18" s="11"/>
      <c r="C18" s="23" t="s">
        <v>21</v>
      </c>
      <c r="D18" s="6">
        <f>D16+D17</f>
        <v>38133.745945575443</v>
      </c>
      <c r="E18" s="85" t="s">
        <v>139</v>
      </c>
      <c r="F18" s="85"/>
      <c r="G18" s="85"/>
      <c r="H18" s="85"/>
      <c r="I18" s="85"/>
    </row>
    <row r="19" spans="1:9" ht="18" customHeight="1">
      <c r="A19" s="11"/>
      <c r="B19" s="11"/>
      <c r="C19" s="11" t="s">
        <v>22</v>
      </c>
      <c r="D19" s="4">
        <f>'Valuation Bridge'!E26</f>
        <v>4146.42</v>
      </c>
      <c r="E19" s="83" t="s">
        <v>140</v>
      </c>
      <c r="F19" s="83"/>
      <c r="G19" s="83"/>
      <c r="H19" s="83"/>
      <c r="I19" s="83"/>
    </row>
    <row r="20" spans="1:9" ht="18" customHeight="1">
      <c r="A20" s="11"/>
      <c r="B20" s="11"/>
      <c r="C20" s="23" t="s">
        <v>23</v>
      </c>
      <c r="D20" s="6">
        <f>D18+D19</f>
        <v>42280.165945575442</v>
      </c>
      <c r="E20" s="85" t="s">
        <v>141</v>
      </c>
      <c r="F20" s="85"/>
      <c r="G20" s="85"/>
      <c r="H20" s="85"/>
      <c r="I20" s="85"/>
    </row>
    <row r="21" spans="1:9" ht="18" customHeight="1">
      <c r="A21" s="11"/>
      <c r="B21" s="11"/>
      <c r="C21" s="11" t="s">
        <v>82</v>
      </c>
      <c r="D21" s="4">
        <f>'Valuation Bridge'!E34</f>
        <v>101.99583506872136</v>
      </c>
      <c r="E21" s="83" t="s">
        <v>142</v>
      </c>
      <c r="F21" s="83"/>
      <c r="G21" s="83"/>
      <c r="H21" s="83"/>
      <c r="I21" s="83"/>
    </row>
    <row r="22" spans="1:9" ht="18" customHeight="1">
      <c r="A22" s="11"/>
      <c r="B22" s="11"/>
      <c r="C22" s="23" t="s">
        <v>24</v>
      </c>
      <c r="D22" s="76">
        <f>D20/D21</f>
        <v>414.52835713427402</v>
      </c>
      <c r="E22" s="85" t="s">
        <v>143</v>
      </c>
      <c r="F22" s="85"/>
      <c r="G22" s="85"/>
      <c r="H22" s="85"/>
      <c r="I22" s="85"/>
    </row>
    <row r="23" spans="1:9" ht="18" customHeight="1">
      <c r="A23" s="11"/>
      <c r="B23" s="11"/>
      <c r="C23" s="11" t="s">
        <v>80</v>
      </c>
      <c r="D23" s="77">
        <f>Assumptions!D42</f>
        <v>1566.9</v>
      </c>
      <c r="E23" s="83" t="s">
        <v>144</v>
      </c>
      <c r="F23" s="83"/>
      <c r="G23" s="83"/>
      <c r="H23" s="83"/>
      <c r="I23" s="83"/>
    </row>
    <row r="24" spans="1:9" ht="18" customHeight="1">
      <c r="A24" s="11"/>
      <c r="B24" s="11"/>
      <c r="C24" s="11" t="s">
        <v>145</v>
      </c>
      <c r="D24" s="59">
        <f>D22/D23-1</f>
        <v>-0.73544683315190884</v>
      </c>
      <c r="E24" s="83" t="s">
        <v>146</v>
      </c>
      <c r="F24" s="83"/>
      <c r="G24" s="83"/>
      <c r="H24" s="83"/>
      <c r="I24" s="83"/>
    </row>
    <row r="25" spans="1:9" ht="18" customHeight="1">
      <c r="A25" s="11"/>
      <c r="B25" s="11"/>
      <c r="C25" s="11" t="s">
        <v>147</v>
      </c>
      <c r="D25" s="59">
        <f>D16/D18</f>
        <v>0.74620406586668053</v>
      </c>
      <c r="E25" s="83" t="s">
        <v>148</v>
      </c>
      <c r="F25" s="83"/>
      <c r="G25" s="83"/>
      <c r="H25" s="83"/>
      <c r="I25" s="83"/>
    </row>
    <row r="26" spans="1:9" ht="18" customHeight="1">
      <c r="A26" s="11"/>
      <c r="B26" s="11"/>
      <c r="C26" s="11"/>
      <c r="D26" s="11"/>
      <c r="E26" s="11"/>
      <c r="F26" s="11"/>
      <c r="G26" s="11"/>
      <c r="H26" s="11"/>
      <c r="I26" s="11"/>
    </row>
    <row r="27" spans="1:9" ht="18" customHeight="1">
      <c r="A27" s="11"/>
      <c r="B27" s="11"/>
      <c r="C27" s="11"/>
      <c r="D27" s="11"/>
      <c r="E27" s="11"/>
      <c r="F27" s="11"/>
      <c r="G27" s="11"/>
      <c r="H27" s="11"/>
      <c r="I27" s="11"/>
    </row>
    <row r="28" spans="1:9" ht="18" customHeight="1">
      <c r="A28" s="11"/>
      <c r="B28" s="11"/>
      <c r="C28" s="36" t="s">
        <v>149</v>
      </c>
      <c r="D28" s="38"/>
      <c r="E28" s="38"/>
      <c r="F28" s="38"/>
      <c r="G28" s="38"/>
      <c r="H28" s="38"/>
      <c r="I28" s="39"/>
    </row>
    <row r="29" spans="1:9" ht="18" customHeight="1">
      <c r="A29" s="11"/>
      <c r="B29" s="11"/>
      <c r="C29" s="18" t="s">
        <v>150</v>
      </c>
      <c r="D29" s="3">
        <v>0.04</v>
      </c>
      <c r="E29" s="3">
        <v>4.4999999999999998E-2</v>
      </c>
      <c r="F29" s="3">
        <v>0.05</v>
      </c>
      <c r="G29" s="3">
        <v>5.5E-2</v>
      </c>
      <c r="H29" s="3">
        <v>0.06</v>
      </c>
      <c r="I29" s="20" t="s">
        <v>151</v>
      </c>
    </row>
    <row r="30" spans="1:9" ht="18" customHeight="1">
      <c r="A30" s="11"/>
      <c r="B30" s="11"/>
      <c r="C30" s="59">
        <v>0.1</v>
      </c>
      <c r="D30" s="77">
        <f>(Forecast!E36/(1+$C30)+Forecast!F36/(1+$C30)^2+Forecast!G36/(1+$C30)^3+Forecast!H36/(1+$C30)^4+Forecast!I36/(1+$C30)^5+Forecast!I36*(1+D$29)/(($C30-D$29)*(1+$C30)^5)+'Valuation Bridge'!$E$26)/'Valuation Bridge'!$E$34</f>
        <v>494.57587068016244</v>
      </c>
      <c r="E30" s="77">
        <f>(Forecast!E36/(1+$C30)+Forecast!F36/(1+$C30)^2+Forecast!G36/(1+$C30)^3+Forecast!H36/(1+$C30)^4+Forecast!I36/(1+$C30)^5+Forecast!I36*(1+E$29)/(($C30-E$29)*(1+$C30)^5)+'Valuation Bridge'!$E$26)/'Valuation Bridge'!$E$34</f>
        <v>528.58559252356133</v>
      </c>
      <c r="F30" s="77">
        <f>(Forecast!E36/(1+$C30)+Forecast!F36/(1+$C30)^2+Forecast!G36/(1+$C30)^3+Forecast!H36/(1+$C30)^4+Forecast!I36/(1+$C30)^5+Forecast!I36*(1+F$29)/(($C30-F$29)*(1+$C30)^5)+'Valuation Bridge'!$E$26)/'Valuation Bridge'!$E$34</f>
        <v>569.39725873564032</v>
      </c>
      <c r="G30" s="77">
        <f>(Forecast!E36/(1+$C30)+Forecast!F36/(1+$C30)^2+Forecast!G36/(1+$C30)^3+Forecast!H36/(1+$C30)^4+Forecast!I36/(1+$C30)^5+Forecast!I36*(1+G$29)/(($C30-G$29)*(1+$C30)^5)+'Valuation Bridge'!$E$26)/'Valuation Bridge'!$E$34</f>
        <v>619.27818410595876</v>
      </c>
      <c r="H30" s="77">
        <f>(Forecast!E36/(1+$C30)+Forecast!F36/(1+$C30)^2+Forecast!G36/(1+$C30)^3+Forecast!H36/(1+$C30)^4+Forecast!I36/(1+$C30)^5+Forecast!I36*(1+H$29)/(($C30-H$29)*(1+$C30)^5)+'Valuation Bridge'!$E$26)/'Valuation Bridge'!$E$34</f>
        <v>681.62934081885714</v>
      </c>
      <c r="I30" s="11"/>
    </row>
    <row r="31" spans="1:9" ht="18" customHeight="1">
      <c r="A31" s="11"/>
      <c r="B31" s="11"/>
      <c r="C31" s="59">
        <v>0.11</v>
      </c>
      <c r="D31" s="77">
        <f>(Forecast!E36/(1+$C31)+Forecast!F36/(1+$C31)^2+Forecast!G36/(1+$C31)^3+Forecast!H36/(1+$C31)^4+Forecast!I36/(1+$C31)^5+Forecast!I36*(1+D$29)/(($C31-D$29)*(1+$C31)^5)+'Valuation Bridge'!$E$26)/'Valuation Bridge'!$E$34</f>
        <v>427.92962314194273</v>
      </c>
      <c r="E31" s="77">
        <f>(Forecast!E36/(1+$C31)+Forecast!F36/(1+$C31)^2+Forecast!G36/(1+$C31)^3+Forecast!H36/(1+$C31)^4+Forecast!I36/(1+$C31)^5+Forecast!I36*(1+E$29)/(($C31-E$29)*(1+$C31)^5)+'Valuation Bridge'!$E$26)/'Valuation Bridge'!$E$34</f>
        <v>451.71907572677327</v>
      </c>
      <c r="F31" s="77">
        <f>(Forecast!E36/(1+$C31)+Forecast!F36/(1+$C31)^2+Forecast!G36/(1+$C31)^3+Forecast!H36/(1+$C31)^4+Forecast!I36/(1+$C31)^5+Forecast!I36*(1+F$29)/(($C31-F$29)*(1+$C31)^5)+'Valuation Bridge'!$E$26)/'Valuation Bridge'!$E$34</f>
        <v>479.4734370757422</v>
      </c>
      <c r="G31" s="77">
        <f>(Forecast!E36/(1+$C31)+Forecast!F36/(1+$C31)^2+Forecast!G36/(1+$C31)^3+Forecast!H36/(1+$C31)^4+Forecast!I36/(1+$C31)^5+Forecast!I36*(1+G$29)/(($C31-G$29)*(1+$C31)^5)+'Valuation Bridge'!$E$26)/'Valuation Bridge'!$E$34</f>
        <v>512.27404594270536</v>
      </c>
      <c r="H31" s="77">
        <f>(Forecast!E36/(1+$C31)+Forecast!F36/(1+$C31)^2+Forecast!G36/(1+$C31)^3+Forecast!H36/(1+$C31)^4+Forecast!I36/(1+$C31)^5+Forecast!I36*(1+H$29)/(($C31-H$29)*(1+$C31)^5)+'Valuation Bridge'!$E$26)/'Valuation Bridge'!$E$34</f>
        <v>551.63477658306135</v>
      </c>
      <c r="I31" s="11"/>
    </row>
    <row r="32" spans="1:9" ht="18" customHeight="1">
      <c r="A32" s="11"/>
      <c r="B32" s="11"/>
      <c r="C32" s="59">
        <v>0.12</v>
      </c>
      <c r="D32" s="77">
        <f>(Forecast!E36/(1+$C32)+Forecast!F36/(1+$C32)^2+Forecast!G36/(1+$C32)^3+Forecast!H36/(1+$C32)^4+Forecast!I36/(1+$C32)^5+Forecast!I36*(1+D$29)/(($C32-D$29)*(1+$C32)^5)+'Valuation Bridge'!$E$26)/'Valuation Bridge'!$E$34</f>
        <v>377.99773938188639</v>
      </c>
      <c r="E32" s="77">
        <f>(Forecast!E36/(1+$C32)+Forecast!F36/(1+$C32)^2+Forecast!G36/(1+$C32)^3+Forecast!H36/(1+$C32)^4+Forecast!I36/(1+$C32)^5+Forecast!I36*(1+E$29)/(($C32-E$29)*(1+$C32)^5)+'Valuation Bridge'!$E$26)/'Valuation Bridge'!$E$34</f>
        <v>395.40235432288478</v>
      </c>
      <c r="F32" s="78">
        <f>(Forecast!E36/(1+$C32)+Forecast!F36/(1+$C32)^2+Forecast!G36/(1+$C32)^3+Forecast!H36/(1+$C32)^4+Forecast!I36/(1+$C32)^5+Forecast!I36*(1+F$29)/(($C32-F$29)*(1+$C32)^5)+'Valuation Bridge'!$E$26)/'Valuation Bridge'!$E$34</f>
        <v>415.29334282688308</v>
      </c>
      <c r="G32" s="77">
        <f>(Forecast!E36/(1+$C32)+Forecast!F36/(1+$C32)^2+Forecast!G36/(1+$C32)^3+Forecast!H36/(1+$C32)^4+Forecast!I36/(1+$C32)^5+Forecast!I36*(1+G$29)/(($C32-G$29)*(1+$C32)^5)+'Valuation Bridge'!$E$26)/'Valuation Bridge'!$E$34</f>
        <v>438.2444834084194</v>
      </c>
      <c r="H32" s="77">
        <f>(Forecast!E36/(1+$C32)+Forecast!F36/(1+$C32)^2+Forecast!G36/(1+$C32)^3+Forecast!H36/(1+$C32)^4+Forecast!I36/(1+$C32)^5+Forecast!I36*(1+H$29)/(($C32-H$29)*(1+$C32)^5)+'Valuation Bridge'!$E$26)/'Valuation Bridge'!$E$34</f>
        <v>465.0208140868786</v>
      </c>
      <c r="I32" s="11" t="s">
        <v>152</v>
      </c>
    </row>
    <row r="33" spans="1:9" ht="18" customHeight="1">
      <c r="A33" s="11"/>
      <c r="B33" s="11"/>
      <c r="C33" s="59">
        <v>0.13</v>
      </c>
      <c r="D33" s="77">
        <f>(Forecast!E36/(1+$C33)+Forecast!F36/(1+$C33)^2+Forecast!G36/(1+$C33)^3+Forecast!H36/(1+$C33)^4+Forecast!I36/(1+$C33)^5+Forecast!I36*(1+D$29)/(($C33-D$29)*(1+$C33)^5)+'Valuation Bridge'!$E$26)/'Valuation Bridge'!$E$34</f>
        <v>339.20667919669813</v>
      </c>
      <c r="E33" s="77">
        <f>(Forecast!E36/(1+$C33)+Forecast!F36/(1+$C33)^2+Forecast!G36/(1+$C33)^3+Forecast!H36/(1+$C33)^4+Forecast!I36/(1+$C33)^5+Forecast!I36*(1+E$29)/(($C33-E$29)*(1+$C33)^5)+'Valuation Bridge'!$E$26)/'Valuation Bridge'!$E$34</f>
        <v>352.38052425885974</v>
      </c>
      <c r="F33" s="77">
        <f>(Forecast!E36/(1+$C33)+Forecast!F36/(1+$C33)^2+Forecast!G36/(1+$C33)^3+Forecast!H36/(1+$C33)^4+Forecast!I36/(1+$C33)^5+Forecast!I36*(1+F$29)/(($C33-F$29)*(1+$C33)^5)+'Valuation Bridge'!$E$26)/'Valuation Bridge'!$E$34</f>
        <v>367.20109995379158</v>
      </c>
      <c r="G33" s="77">
        <f>(Forecast!E36/(1+$C33)+Forecast!F36/(1+$C33)^2+Forecast!G36/(1+$C33)^3+Forecast!H36/(1+$C33)^4+Forecast!I36/(1+$C33)^5+Forecast!I36*(1+G$29)/(($C33-G$29)*(1+$C33)^5)+'Valuation Bridge'!$E$26)/'Valuation Bridge'!$E$34</f>
        <v>383.99775240804769</v>
      </c>
      <c r="H33" s="77">
        <f>(Forecast!E36/(1+$C33)+Forecast!F36/(1+$C33)^2+Forecast!G36/(1+$C33)^3+Forecast!H36/(1+$C33)^4+Forecast!I36/(1+$C33)^5+Forecast!I36*(1+H$29)/(($C33-H$29)*(1+$C33)^5)+'Valuation Bridge'!$E$26)/'Valuation Bridge'!$E$34</f>
        <v>403.19392664148324</v>
      </c>
      <c r="I33" s="11"/>
    </row>
    <row r="34" spans="1:9" ht="18" customHeight="1">
      <c r="A34" s="11"/>
      <c r="B34" s="11"/>
      <c r="C34" s="59">
        <v>0.14000000000000001</v>
      </c>
      <c r="D34" s="77">
        <f>(Forecast!E36/(1+$C34)+Forecast!F36/(1+$C34)^2+Forecast!G36/(1+$C34)^3+Forecast!H36/(1+$C34)^4+Forecast!I36/(1+$C34)^5+Forecast!I36*(1+D$29)/(($C34-D$29)*(1+$C34)^5)+'Valuation Bridge'!$E$26)/'Valuation Bridge'!$E$34</f>
        <v>308.21242024512088</v>
      </c>
      <c r="E34" s="77">
        <f>(Forecast!E36/(1+$C34)+Forecast!F36/(1+$C34)^2+Forecast!G36/(1+$C34)^3+Forecast!H36/(1+$C34)^4+Forecast!I36/(1+$C34)^5+Forecast!I36*(1+E$29)/(($C34-E$29)*(1+$C34)^5)+'Valuation Bridge'!$E$26)/'Valuation Bridge'!$E$34</f>
        <v>318.45347645483645</v>
      </c>
      <c r="F34" s="77">
        <f>(Forecast!E36/(1+$C34)+Forecast!F36/(1+$C34)^2+Forecast!G36/(1+$C34)^3+Forecast!H36/(1+$C34)^4+Forecast!I36/(1+$C34)^5+Forecast!I36*(1+F$29)/(($C34-F$29)*(1+$C34)^5)+'Valuation Bridge'!$E$26)/'Valuation Bridge'!$E$34</f>
        <v>329.83242779896494</v>
      </c>
      <c r="G34" s="77">
        <f>(Forecast!E36/(1+$C34)+Forecast!F36/(1+$C34)^2+Forecast!G36/(1+$C34)^3+Forecast!H36/(1+$C34)^4+Forecast!I36/(1+$C34)^5+Forecast!I36*(1+G$29)/(($C34-G$29)*(1+$C34)^5)+'Valuation Bridge'!$E$26)/'Valuation Bridge'!$E$34</f>
        <v>342.55007930122616</v>
      </c>
      <c r="H34" s="77">
        <f>(Forecast!E36/(1+$C34)+Forecast!F36/(1+$C34)^2+Forecast!G36/(1+$C34)^3+Forecast!H36/(1+$C34)^4+Forecast!I36/(1+$C34)^5+Forecast!I36*(1+H$29)/(($C34-H$29)*(1+$C34)^5)+'Valuation Bridge'!$E$26)/'Valuation Bridge'!$E$34</f>
        <v>356.85743724127002</v>
      </c>
      <c r="I34" s="11"/>
    </row>
    <row r="35" spans="1:9" ht="18" customHeight="1">
      <c r="A35" s="11"/>
      <c r="B35" s="11"/>
      <c r="C35" s="11"/>
      <c r="D35" s="11"/>
      <c r="E35" s="11"/>
      <c r="F35" s="11"/>
      <c r="G35" s="11"/>
      <c r="H35" s="11"/>
      <c r="I35" s="11"/>
    </row>
    <row r="36" spans="1:9" ht="18" customHeight="1">
      <c r="A36" s="11"/>
      <c r="B36" s="11"/>
      <c r="C36" s="80" t="s">
        <v>153</v>
      </c>
      <c r="D36" s="80"/>
      <c r="E36" s="80"/>
      <c r="F36" s="80"/>
      <c r="G36" s="80"/>
      <c r="H36" s="80"/>
      <c r="I36" s="80"/>
    </row>
    <row r="37" spans="1:9" ht="18" customHeight="1">
      <c r="A37" s="11"/>
      <c r="B37" s="11"/>
      <c r="C37" s="11"/>
      <c r="D37" s="11"/>
      <c r="E37" s="11"/>
      <c r="F37" s="11"/>
      <c r="G37" s="11"/>
      <c r="H37" s="11"/>
      <c r="I37" s="11"/>
    </row>
    <row r="38" spans="1:9" ht="32" customHeight="1">
      <c r="A38" s="11"/>
      <c r="B38" s="11"/>
      <c r="C38" s="40" t="s">
        <v>154</v>
      </c>
      <c r="D38" s="84" t="s">
        <v>155</v>
      </c>
      <c r="E38" s="84"/>
      <c r="F38" s="84"/>
      <c r="G38" s="84"/>
      <c r="H38" s="84"/>
      <c r="I38" s="84"/>
    </row>
    <row r="39" spans="1:9" ht="18" customHeight="1">
      <c r="A39" s="11"/>
      <c r="B39" s="11"/>
      <c r="C39" s="11"/>
      <c r="D39" s="11"/>
      <c r="E39" s="11"/>
      <c r="F39" s="11"/>
      <c r="G39" s="11"/>
      <c r="H39" s="11"/>
      <c r="I39" s="11"/>
    </row>
  </sheetData>
  <mergeCells count="15"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C36:I36"/>
    <mergeCell ref="D38:I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95959"/>
  </sheetPr>
  <dimension ref="A1:G36"/>
  <sheetViews>
    <sheetView workbookViewId="0">
      <pane xSplit="3" ySplit="5" topLeftCell="D29" activePane="bottomRight" state="frozen"/>
      <selection pane="topRight"/>
      <selection pane="bottomLeft"/>
      <selection pane="bottomRight" activeCell="E32" sqref="E32"/>
    </sheetView>
  </sheetViews>
  <sheetFormatPr defaultRowHeight="14"/>
  <cols>
    <col min="1" max="2" width="2.5" customWidth="1"/>
    <col min="3" max="3" width="52" customWidth="1"/>
    <col min="4" max="5" width="15" customWidth="1"/>
    <col min="6" max="6" width="28" customWidth="1"/>
    <col min="7" max="7" width="36" customWidth="1"/>
  </cols>
  <sheetData>
    <row r="1" spans="1:7" ht="18" customHeight="1">
      <c r="A1" s="11"/>
      <c r="B1" s="11"/>
      <c r="C1" s="11"/>
      <c r="D1" s="11"/>
      <c r="E1" s="11"/>
      <c r="F1" s="11"/>
      <c r="G1" s="11"/>
    </row>
    <row r="2" spans="1:7" ht="18" customHeight="1">
      <c r="A2" s="11"/>
      <c r="B2" s="11"/>
      <c r="C2" s="12" t="s">
        <v>156</v>
      </c>
      <c r="D2" s="12"/>
      <c r="E2" s="12"/>
      <c r="F2" s="12"/>
      <c r="G2" s="12"/>
    </row>
    <row r="3" spans="1:7" ht="18" customHeight="1">
      <c r="A3" s="11"/>
      <c r="B3" s="11"/>
      <c r="C3" s="13" t="s">
        <v>157</v>
      </c>
      <c r="D3" s="13"/>
      <c r="E3" s="13"/>
      <c r="F3" s="13"/>
      <c r="G3" s="13"/>
    </row>
    <row r="4" spans="1:7" ht="18" customHeight="1">
      <c r="A4" s="11"/>
      <c r="B4" s="11"/>
      <c r="C4" s="14"/>
      <c r="D4" s="14"/>
      <c r="E4" s="14"/>
      <c r="F4" s="14"/>
      <c r="G4" s="14"/>
    </row>
    <row r="5" spans="1:7" ht="18" customHeight="1">
      <c r="A5" s="11"/>
      <c r="B5" s="11"/>
      <c r="C5" s="18" t="s">
        <v>3</v>
      </c>
      <c r="D5" s="19" t="s">
        <v>7</v>
      </c>
      <c r="E5" s="19" t="s">
        <v>8</v>
      </c>
      <c r="F5" s="19" t="s">
        <v>158</v>
      </c>
      <c r="G5" s="20" t="s">
        <v>159</v>
      </c>
    </row>
    <row r="6" spans="1:7" ht="18" customHeight="1">
      <c r="A6" s="11"/>
      <c r="B6" s="11"/>
      <c r="C6" s="15" t="s">
        <v>160</v>
      </c>
      <c r="D6" s="16"/>
      <c r="E6" s="16"/>
      <c r="F6" s="16"/>
      <c r="G6" s="17"/>
    </row>
    <row r="7" spans="1:7" ht="24" customHeight="1">
      <c r="A7" s="11"/>
      <c r="B7" s="11"/>
      <c r="C7" s="28" t="s">
        <v>161</v>
      </c>
      <c r="D7" s="21">
        <f>'Balance Sheet'!G25</f>
        <v>323.94</v>
      </c>
      <c r="E7" s="21">
        <f>'Balance Sheet'!H25</f>
        <v>232.49</v>
      </c>
      <c r="F7" s="27" t="s">
        <v>162</v>
      </c>
      <c r="G7" s="27" t="s">
        <v>163</v>
      </c>
    </row>
    <row r="8" spans="1:7" ht="24" customHeight="1">
      <c r="A8" s="11"/>
      <c r="B8" s="11"/>
      <c r="C8" s="28" t="s">
        <v>164</v>
      </c>
      <c r="D8" s="21">
        <f>'Balance Sheet'!G26</f>
        <v>12.27</v>
      </c>
      <c r="E8" s="21">
        <f>'Balance Sheet'!H26</f>
        <v>66.41</v>
      </c>
      <c r="F8" s="27" t="s">
        <v>162</v>
      </c>
      <c r="G8" s="27" t="s">
        <v>163</v>
      </c>
    </row>
    <row r="9" spans="1:7" ht="24" customHeight="1">
      <c r="A9" s="11"/>
      <c r="B9" s="11"/>
      <c r="C9" s="28" t="s">
        <v>165</v>
      </c>
      <c r="D9" s="21">
        <v>3149.59</v>
      </c>
      <c r="E9" s="21">
        <v>3903.02</v>
      </c>
      <c r="F9" s="27" t="s">
        <v>166</v>
      </c>
      <c r="G9" s="27" t="s">
        <v>167</v>
      </c>
    </row>
    <row r="10" spans="1:7" ht="24" customHeight="1">
      <c r="A10" s="11"/>
      <c r="B10" s="11"/>
      <c r="C10" s="28" t="s">
        <v>168</v>
      </c>
      <c r="D10" s="21">
        <v>12.37</v>
      </c>
      <c r="E10" s="21">
        <v>16.809999999999999</v>
      </c>
      <c r="F10" s="27" t="s">
        <v>166</v>
      </c>
      <c r="G10" s="27" t="s">
        <v>169</v>
      </c>
    </row>
    <row r="11" spans="1:7" ht="24" customHeight="1">
      <c r="A11" s="11"/>
      <c r="B11" s="11"/>
      <c r="C11" s="41" t="s">
        <v>170</v>
      </c>
      <c r="D11" s="35">
        <f>SUM(D9:D10)</f>
        <v>3161.96</v>
      </c>
      <c r="E11" s="35">
        <f>SUM(E9:E10)</f>
        <v>3919.83</v>
      </c>
      <c r="F11" s="42" t="s">
        <v>166</v>
      </c>
      <c r="G11" s="42" t="s">
        <v>171</v>
      </c>
    </row>
    <row r="12" spans="1:7" ht="24" customHeight="1">
      <c r="A12" s="11"/>
      <c r="B12" s="11"/>
      <c r="C12" s="28" t="s">
        <v>172</v>
      </c>
      <c r="D12" s="21">
        <f>'Balance Sheet'!G14</f>
        <v>289.29000000000002</v>
      </c>
      <c r="E12" s="21">
        <f>'Balance Sheet'!H14</f>
        <v>263.56</v>
      </c>
      <c r="F12" s="27" t="s">
        <v>173</v>
      </c>
      <c r="G12" s="27" t="s">
        <v>174</v>
      </c>
    </row>
    <row r="13" spans="1:7" ht="24" customHeight="1">
      <c r="A13" s="11"/>
      <c r="B13" s="11"/>
      <c r="C13" s="41" t="s">
        <v>175</v>
      </c>
      <c r="D13" s="35">
        <f>SUM(D7:D8,D11:D12)</f>
        <v>3787.46</v>
      </c>
      <c r="E13" s="35">
        <f>SUM(E7:E8,E11:E12)</f>
        <v>4482.29</v>
      </c>
      <c r="F13" s="42" t="s">
        <v>176</v>
      </c>
      <c r="G13" s="42" t="s">
        <v>177</v>
      </c>
    </row>
    <row r="14" spans="1:7" ht="24" customHeight="1">
      <c r="A14" s="11"/>
      <c r="B14" s="11"/>
      <c r="C14" s="28" t="s">
        <v>178</v>
      </c>
      <c r="D14" s="21">
        <v>3149.59</v>
      </c>
      <c r="E14" s="21">
        <v>3984.36</v>
      </c>
      <c r="F14" s="27" t="s">
        <v>179</v>
      </c>
      <c r="G14" s="27" t="s">
        <v>180</v>
      </c>
    </row>
    <row r="15" spans="1:7" ht="24" customHeight="1">
      <c r="A15" s="11"/>
      <c r="B15" s="11"/>
      <c r="C15" s="28" t="s">
        <v>181</v>
      </c>
      <c r="D15" s="21">
        <f>D14-D9</f>
        <v>0</v>
      </c>
      <c r="E15" s="21">
        <f>E14-E9</f>
        <v>81.340000000000146</v>
      </c>
      <c r="F15" s="27" t="s">
        <v>176</v>
      </c>
      <c r="G15" s="27" t="s">
        <v>182</v>
      </c>
    </row>
    <row r="16" spans="1:7" ht="24" customHeight="1">
      <c r="A16" s="11"/>
      <c r="B16" s="11"/>
      <c r="C16" s="43" t="s">
        <v>183</v>
      </c>
      <c r="D16" s="24">
        <f>D13+D15</f>
        <v>3787.46</v>
      </c>
      <c r="E16" s="24">
        <f>E13+E15</f>
        <v>4563.63</v>
      </c>
      <c r="F16" s="44" t="s">
        <v>176</v>
      </c>
      <c r="G16" s="44" t="s">
        <v>184</v>
      </c>
    </row>
    <row r="17" spans="1:7" ht="24" customHeight="1">
      <c r="A17" s="11"/>
      <c r="B17" s="11"/>
      <c r="C17" s="11"/>
      <c r="D17" s="21"/>
      <c r="E17" s="21"/>
      <c r="F17" s="27"/>
      <c r="G17" s="27"/>
    </row>
    <row r="18" spans="1:7" ht="24" customHeight="1">
      <c r="A18" s="11"/>
      <c r="B18" s="11"/>
      <c r="C18" s="36" t="s">
        <v>185</v>
      </c>
      <c r="D18" s="37"/>
      <c r="E18" s="37"/>
      <c r="F18" s="45"/>
      <c r="G18" s="46"/>
    </row>
    <row r="19" spans="1:7" ht="24" customHeight="1">
      <c r="A19" s="11"/>
      <c r="B19" s="11"/>
      <c r="C19" s="28" t="s">
        <v>186</v>
      </c>
      <c r="D19" s="21">
        <f>'Balance Sheet'!G47</f>
        <v>147.18</v>
      </c>
      <c r="E19" s="21">
        <f>'Balance Sheet'!H47</f>
        <v>105.91</v>
      </c>
      <c r="F19" s="27" t="s">
        <v>187</v>
      </c>
      <c r="G19" s="27" t="s">
        <v>188</v>
      </c>
    </row>
    <row r="20" spans="1:7" ht="24" customHeight="1">
      <c r="A20" s="11"/>
      <c r="B20" s="11"/>
      <c r="C20" s="28" t="s">
        <v>189</v>
      </c>
      <c r="D20" s="21">
        <f>'Balance Sheet'!G41</f>
        <v>220.23</v>
      </c>
      <c r="E20" s="21">
        <f>'Balance Sheet'!H41</f>
        <v>219.45</v>
      </c>
      <c r="F20" s="27" t="s">
        <v>190</v>
      </c>
      <c r="G20" s="27" t="s">
        <v>188</v>
      </c>
    </row>
    <row r="21" spans="1:7" ht="24" customHeight="1">
      <c r="A21" s="11"/>
      <c r="B21" s="11"/>
      <c r="C21" s="28" t="s">
        <v>191</v>
      </c>
      <c r="D21" s="21">
        <f>'Balance Sheet'!G48</f>
        <v>86.73</v>
      </c>
      <c r="E21" s="21">
        <f>'Balance Sheet'!H48</f>
        <v>91.85</v>
      </c>
      <c r="F21" s="27" t="s">
        <v>190</v>
      </c>
      <c r="G21" s="27" t="s">
        <v>188</v>
      </c>
    </row>
    <row r="22" spans="1:7" ht="24" customHeight="1">
      <c r="A22" s="11"/>
      <c r="B22" s="11"/>
      <c r="C22" s="41" t="s">
        <v>192</v>
      </c>
      <c r="D22" s="35">
        <f>SUM(D20:D21)</f>
        <v>306.95999999999998</v>
      </c>
      <c r="E22" s="35">
        <f>SUM(E20:E21)</f>
        <v>311.29999999999995</v>
      </c>
      <c r="F22" s="42" t="s">
        <v>176</v>
      </c>
      <c r="G22" s="42" t="s">
        <v>193</v>
      </c>
    </row>
    <row r="23" spans="1:7" ht="24" customHeight="1">
      <c r="A23" s="11"/>
      <c r="B23" s="11"/>
      <c r="C23" s="28" t="s">
        <v>194</v>
      </c>
      <c r="D23" s="47">
        <f>ROUND(D22-306.96,2)</f>
        <v>0</v>
      </c>
      <c r="E23" s="47">
        <f>ROUND(E22-311.3,2)</f>
        <v>0</v>
      </c>
      <c r="F23" s="27" t="s">
        <v>195</v>
      </c>
      <c r="G23" s="27" t="s">
        <v>196</v>
      </c>
    </row>
    <row r="24" spans="1:7" ht="24" customHeight="1">
      <c r="A24" s="11"/>
      <c r="B24" s="11"/>
      <c r="C24" s="41" t="s">
        <v>197</v>
      </c>
      <c r="D24" s="35">
        <f>D19+D22</f>
        <v>454.14</v>
      </c>
      <c r="E24" s="35">
        <f>E19+E22</f>
        <v>417.20999999999992</v>
      </c>
      <c r="F24" s="42" t="s">
        <v>176</v>
      </c>
      <c r="G24" s="42" t="s">
        <v>198</v>
      </c>
    </row>
    <row r="25" spans="1:7" ht="24" customHeight="1">
      <c r="A25" s="11"/>
      <c r="B25" s="11"/>
      <c r="C25" s="41" t="s">
        <v>199</v>
      </c>
      <c r="D25" s="35">
        <f>D13-D24</f>
        <v>3333.32</v>
      </c>
      <c r="E25" s="35">
        <f>E13-E24</f>
        <v>4065.08</v>
      </c>
      <c r="F25" s="42" t="s">
        <v>176</v>
      </c>
      <c r="G25" s="42" t="s">
        <v>177</v>
      </c>
    </row>
    <row r="26" spans="1:7" ht="24" customHeight="1">
      <c r="A26" s="11"/>
      <c r="B26" s="11"/>
      <c r="C26" s="43" t="s">
        <v>200</v>
      </c>
      <c r="D26" s="24">
        <f>D16-D24</f>
        <v>3333.32</v>
      </c>
      <c r="E26" s="24">
        <f>E16-E24</f>
        <v>4146.42</v>
      </c>
      <c r="F26" s="44" t="s">
        <v>176</v>
      </c>
      <c r="G26" s="44" t="s">
        <v>201</v>
      </c>
    </row>
    <row r="27" spans="1:7" ht="24" customHeight="1">
      <c r="A27" s="11"/>
      <c r="B27" s="11"/>
      <c r="C27" s="11"/>
      <c r="D27" s="11"/>
      <c r="E27" s="11"/>
      <c r="F27" s="27"/>
      <c r="G27" s="27"/>
    </row>
    <row r="28" spans="1:7" ht="24" customHeight="1">
      <c r="A28" s="11"/>
      <c r="B28" s="11"/>
      <c r="C28" s="15" t="s">
        <v>202</v>
      </c>
      <c r="D28" s="16"/>
      <c r="E28" s="16"/>
      <c r="F28" s="48"/>
      <c r="G28" s="49"/>
    </row>
    <row r="29" spans="1:7" ht="24" customHeight="1">
      <c r="A29" s="11"/>
      <c r="B29" s="11"/>
      <c r="C29" s="28" t="s">
        <v>203</v>
      </c>
      <c r="D29" s="50">
        <v>50.864875499999997</v>
      </c>
      <c r="E29" s="50">
        <v>101.7766288</v>
      </c>
      <c r="F29" s="27" t="s">
        <v>204</v>
      </c>
      <c r="G29" s="27" t="s">
        <v>205</v>
      </c>
    </row>
    <row r="30" spans="1:7" ht="24" customHeight="1">
      <c r="A30" s="11"/>
      <c r="B30" s="11"/>
      <c r="C30" s="28" t="s">
        <v>206</v>
      </c>
      <c r="D30" s="50">
        <f>'Balance Sheet'!G35</f>
        <v>50.86</v>
      </c>
      <c r="E30" s="50">
        <f>'Balance Sheet'!H35</f>
        <v>101.78</v>
      </c>
      <c r="F30" s="27" t="s">
        <v>162</v>
      </c>
      <c r="G30" s="27" t="s">
        <v>207</v>
      </c>
    </row>
    <row r="31" spans="1:7" ht="24" customHeight="1">
      <c r="A31" s="11"/>
      <c r="B31" s="11"/>
      <c r="C31" s="28" t="s">
        <v>208</v>
      </c>
      <c r="D31" s="47">
        <f>D29-D30</f>
        <v>4.875499999997146E-3</v>
      </c>
      <c r="E31" s="47">
        <f>E29-E30</f>
        <v>-3.3712000000036824E-3</v>
      </c>
      <c r="F31" s="27" t="s">
        <v>176</v>
      </c>
      <c r="G31" s="27" t="s">
        <v>209</v>
      </c>
    </row>
    <row r="32" spans="1:7" ht="24" customHeight="1">
      <c r="A32" s="11"/>
      <c r="B32" s="11"/>
      <c r="C32" s="28" t="s">
        <v>210</v>
      </c>
      <c r="D32" s="50">
        <v>0.26238739999999999</v>
      </c>
      <c r="E32" s="50">
        <v>0.45004480000000002</v>
      </c>
      <c r="F32" s="27" t="s">
        <v>204</v>
      </c>
      <c r="G32" s="27" t="s">
        <v>211</v>
      </c>
    </row>
    <row r="33" spans="1:7" ht="24" customHeight="1">
      <c r="A33" s="11"/>
      <c r="B33" s="11"/>
      <c r="C33" s="28" t="s">
        <v>212</v>
      </c>
      <c r="D33" s="50">
        <f>'P&amp;L'!G32/'P&amp;L'!G35</f>
        <v>101.97642436149312</v>
      </c>
      <c r="E33" s="50">
        <f>'P&amp;L'!H32/'P&amp;L'!H35</f>
        <v>101.99583506872136</v>
      </c>
      <c r="F33" s="27" t="s">
        <v>213</v>
      </c>
      <c r="G33" s="27" t="s">
        <v>142</v>
      </c>
    </row>
    <row r="34" spans="1:7" ht="24" customHeight="1">
      <c r="A34" s="11"/>
      <c r="B34" s="11"/>
      <c r="C34" s="41" t="s">
        <v>214</v>
      </c>
      <c r="D34" s="51">
        <f>D33</f>
        <v>101.97642436149312</v>
      </c>
      <c r="E34" s="51">
        <f>E33</f>
        <v>101.99583506872136</v>
      </c>
      <c r="F34" s="42" t="s">
        <v>215</v>
      </c>
      <c r="G34" s="42" t="s">
        <v>216</v>
      </c>
    </row>
    <row r="35" spans="1:7" ht="24" customHeight="1">
      <c r="A35" s="11"/>
      <c r="B35" s="11"/>
      <c r="C35" s="43" t="s">
        <v>217</v>
      </c>
      <c r="D35" s="52">
        <f>D26/D34</f>
        <v>32.687162948406737</v>
      </c>
      <c r="E35" s="52">
        <f>E26/E34</f>
        <v>40.652836434019896</v>
      </c>
      <c r="F35" s="44" t="s">
        <v>176</v>
      </c>
      <c r="G35" s="44" t="s">
        <v>218</v>
      </c>
    </row>
    <row r="36" spans="1:7" ht="44" customHeight="1">
      <c r="A36" s="11"/>
      <c r="B36" s="11"/>
      <c r="C36" s="11" t="s">
        <v>219</v>
      </c>
      <c r="D36" s="80" t="s">
        <v>220</v>
      </c>
      <c r="E36" s="80"/>
      <c r="F36" s="80"/>
      <c r="G36" s="80"/>
    </row>
  </sheetData>
  <mergeCells count="1">
    <mergeCell ref="D36:G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95959"/>
  </sheetPr>
  <dimension ref="A1:H43"/>
  <sheetViews>
    <sheetView workbookViewId="0">
      <pane xSplit="3" ySplit="5" topLeftCell="D36" activePane="bottomRight" state="frozen"/>
      <selection pane="topRight"/>
      <selection pane="bottomLeft"/>
      <selection pane="bottomRight" activeCell="D6" sqref="D6"/>
    </sheetView>
  </sheetViews>
  <sheetFormatPr defaultRowHeight="14"/>
  <cols>
    <col min="1" max="2" width="2.5" customWidth="1"/>
    <col min="3" max="3" width="52" customWidth="1"/>
    <col min="4" max="8" width="13" customWidth="1"/>
  </cols>
  <sheetData>
    <row r="1" spans="1:8" ht="18" customHeight="1">
      <c r="A1" s="11"/>
      <c r="B1" s="11"/>
      <c r="C1" s="11"/>
      <c r="D1" s="11"/>
      <c r="E1" s="11"/>
      <c r="F1" s="11"/>
      <c r="G1" s="11"/>
      <c r="H1" s="11"/>
    </row>
    <row r="2" spans="1:8" ht="18" customHeight="1">
      <c r="A2" s="11"/>
      <c r="B2" s="11"/>
      <c r="C2" s="12" t="s">
        <v>221</v>
      </c>
      <c r="D2" s="12"/>
      <c r="E2" s="12"/>
      <c r="F2" s="12"/>
      <c r="G2" s="12"/>
      <c r="H2" s="12"/>
    </row>
    <row r="3" spans="1:8" ht="18" customHeight="1">
      <c r="A3" s="11"/>
      <c r="B3" s="11"/>
      <c r="C3" s="13" t="s">
        <v>222</v>
      </c>
      <c r="D3" s="13"/>
      <c r="E3" s="13"/>
      <c r="F3" s="13"/>
      <c r="G3" s="13"/>
      <c r="H3" s="13"/>
    </row>
    <row r="4" spans="1:8" ht="18" customHeight="1">
      <c r="A4" s="11"/>
      <c r="B4" s="11"/>
      <c r="C4" s="14"/>
      <c r="D4" s="14"/>
      <c r="E4" s="14"/>
      <c r="F4" s="14"/>
      <c r="G4" s="14"/>
      <c r="H4" s="14"/>
    </row>
    <row r="5" spans="1:8" ht="18" customHeight="1">
      <c r="A5" s="11"/>
      <c r="B5" s="11"/>
      <c r="C5" s="18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2" t="s">
        <v>8</v>
      </c>
    </row>
    <row r="6" spans="1:8" ht="18" customHeight="1">
      <c r="A6" s="11"/>
      <c r="B6" s="11"/>
      <c r="C6" s="15" t="s">
        <v>223</v>
      </c>
      <c r="D6" s="10"/>
      <c r="E6" s="10"/>
      <c r="F6" s="10"/>
      <c r="G6" s="10"/>
      <c r="H6" s="55"/>
    </row>
    <row r="7" spans="1:8" ht="18" customHeight="1">
      <c r="A7" s="11"/>
      <c r="B7" s="11"/>
      <c r="C7" s="28" t="s">
        <v>224</v>
      </c>
      <c r="D7" s="4">
        <v>9620.11</v>
      </c>
      <c r="E7" s="4">
        <v>11469.26</v>
      </c>
      <c r="F7" s="4">
        <v>12023.98</v>
      </c>
      <c r="G7" s="4">
        <v>12761.11</v>
      </c>
      <c r="H7" s="4">
        <v>14234.71</v>
      </c>
    </row>
    <row r="8" spans="1:8" ht="18" customHeight="1">
      <c r="A8" s="11"/>
      <c r="B8" s="11"/>
      <c r="C8" s="28" t="s">
        <v>225</v>
      </c>
      <c r="D8" s="4">
        <v>259.86</v>
      </c>
      <c r="E8" s="4">
        <v>282.36</v>
      </c>
      <c r="F8" s="4">
        <v>313.08999999999997</v>
      </c>
      <c r="G8" s="4">
        <v>331.65</v>
      </c>
      <c r="H8" s="4">
        <v>316.55</v>
      </c>
    </row>
    <row r="9" spans="1:8" ht="18" customHeight="1">
      <c r="A9" s="11"/>
      <c r="B9" s="11"/>
      <c r="C9" s="28" t="s">
        <v>226</v>
      </c>
      <c r="D9" s="4">
        <v>0</v>
      </c>
      <c r="E9" s="4">
        <v>0</v>
      </c>
      <c r="F9" s="4">
        <v>0</v>
      </c>
      <c r="G9" s="4">
        <v>1.0900000000000001</v>
      </c>
      <c r="H9" s="4">
        <v>2.2200000000000002</v>
      </c>
    </row>
    <row r="10" spans="1:8" ht="18" customHeight="1">
      <c r="A10" s="11"/>
      <c r="B10" s="11"/>
      <c r="C10" s="28" t="s">
        <v>227</v>
      </c>
      <c r="D10" s="4">
        <v>40.99</v>
      </c>
      <c r="E10" s="4">
        <v>47.48</v>
      </c>
      <c r="F10" s="4">
        <v>45.92</v>
      </c>
      <c r="G10" s="4">
        <v>46.46</v>
      </c>
      <c r="H10" s="4">
        <v>47.35</v>
      </c>
    </row>
    <row r="11" spans="1:8" ht="18" customHeight="1">
      <c r="A11" s="11"/>
      <c r="B11" s="11"/>
      <c r="C11" s="34" t="s">
        <v>9</v>
      </c>
      <c r="D11" s="5">
        <f>SUM(D7:D10)</f>
        <v>9920.9600000000009</v>
      </c>
      <c r="E11" s="5">
        <f>SUM(E7:E10)</f>
        <v>11799.1</v>
      </c>
      <c r="F11" s="5">
        <f>SUM(F7:F10)</f>
        <v>12382.99</v>
      </c>
      <c r="G11" s="5">
        <f>SUM(G7:G10)</f>
        <v>13140.31</v>
      </c>
      <c r="H11" s="5">
        <f>SUM(H7:H10)</f>
        <v>14600.829999999998</v>
      </c>
    </row>
    <row r="12" spans="1:8" ht="18" customHeight="1">
      <c r="A12" s="11"/>
      <c r="B12" s="11"/>
      <c r="C12" s="28" t="s">
        <v>228</v>
      </c>
      <c r="D12" s="4">
        <f>'P&amp;L'!D7</f>
        <v>9920.9599999999991</v>
      </c>
      <c r="E12" s="4">
        <f>'P&amp;L'!E7</f>
        <v>11799.1</v>
      </c>
      <c r="F12" s="4">
        <f>'P&amp;L'!F7</f>
        <v>12382.99</v>
      </c>
      <c r="G12" s="4">
        <f>'P&amp;L'!G7</f>
        <v>13140.31</v>
      </c>
      <c r="H12" s="4">
        <f>'P&amp;L'!H7</f>
        <v>14600.83</v>
      </c>
    </row>
    <row r="13" spans="1:8" ht="18" customHeight="1">
      <c r="A13" s="11"/>
      <c r="B13" s="11"/>
      <c r="C13" s="43" t="s">
        <v>229</v>
      </c>
      <c r="D13" s="6">
        <f>ROUND(D11-D12,2)</f>
        <v>0</v>
      </c>
      <c r="E13" s="6">
        <f>ROUND(E11-E12,2)</f>
        <v>0</v>
      </c>
      <c r="F13" s="6">
        <f>ROUND(F11-F12,2)</f>
        <v>0</v>
      </c>
      <c r="G13" s="6">
        <f>ROUND(G11-G12,2)</f>
        <v>0</v>
      </c>
      <c r="H13" s="6">
        <f>ROUND(H11-H12,2)</f>
        <v>0</v>
      </c>
    </row>
    <row r="14" spans="1:8" ht="18" customHeight="1">
      <c r="A14" s="11"/>
      <c r="B14" s="11"/>
      <c r="C14" s="11"/>
      <c r="D14" s="4"/>
      <c r="E14" s="4"/>
      <c r="F14" s="4"/>
      <c r="G14" s="4"/>
      <c r="H14" s="4"/>
    </row>
    <row r="15" spans="1:8" ht="18" customHeight="1">
      <c r="A15" s="11"/>
      <c r="B15" s="11"/>
      <c r="C15" s="15" t="s">
        <v>227</v>
      </c>
      <c r="D15" s="56"/>
      <c r="E15" s="56"/>
      <c r="F15" s="56"/>
      <c r="G15" s="56"/>
      <c r="H15" s="57"/>
    </row>
    <row r="16" spans="1:8" ht="18" customHeight="1">
      <c r="A16" s="11"/>
      <c r="B16" s="11"/>
      <c r="C16" s="28" t="s">
        <v>230</v>
      </c>
      <c r="D16" s="4">
        <v>17.690000000000001</v>
      </c>
      <c r="E16" s="4">
        <v>21.97</v>
      </c>
      <c r="F16" s="4">
        <v>22.88</v>
      </c>
      <c r="G16" s="4">
        <v>22.13</v>
      </c>
      <c r="H16" s="4">
        <v>23.03</v>
      </c>
    </row>
    <row r="17" spans="1:8" ht="18" customHeight="1">
      <c r="A17" s="11"/>
      <c r="B17" s="11"/>
      <c r="C17" s="28" t="s">
        <v>231</v>
      </c>
      <c r="D17" s="4">
        <v>13.91</v>
      </c>
      <c r="E17" s="4">
        <v>13.26</v>
      </c>
      <c r="F17" s="4">
        <v>13.45</v>
      </c>
      <c r="G17" s="4">
        <v>16.350000000000001</v>
      </c>
      <c r="H17" s="4">
        <v>13.72</v>
      </c>
    </row>
    <row r="18" spans="1:8" ht="18" customHeight="1">
      <c r="A18" s="11"/>
      <c r="B18" s="11"/>
      <c r="C18" s="28" t="s">
        <v>232</v>
      </c>
      <c r="D18" s="4">
        <v>2.94</v>
      </c>
      <c r="E18" s="4">
        <v>6.49</v>
      </c>
      <c r="F18" s="4">
        <v>2.95</v>
      </c>
      <c r="G18" s="4">
        <v>2.06</v>
      </c>
      <c r="H18" s="4">
        <v>3.76</v>
      </c>
    </row>
    <row r="19" spans="1:8" ht="18" customHeight="1">
      <c r="A19" s="11"/>
      <c r="B19" s="11"/>
      <c r="C19" s="28" t="s">
        <v>233</v>
      </c>
      <c r="D19" s="4">
        <v>6.45</v>
      </c>
      <c r="E19" s="4">
        <v>5.76</v>
      </c>
      <c r="F19" s="4">
        <v>6.64</v>
      </c>
      <c r="G19" s="4">
        <v>5.92</v>
      </c>
      <c r="H19" s="4">
        <v>6.84</v>
      </c>
    </row>
    <row r="20" spans="1:8" ht="18" customHeight="1">
      <c r="A20" s="11"/>
      <c r="B20" s="11"/>
      <c r="C20" s="34" t="s">
        <v>227</v>
      </c>
      <c r="D20" s="5">
        <f>SUM(D16:D19)</f>
        <v>40.99</v>
      </c>
      <c r="E20" s="5">
        <f>SUM(E16:E19)</f>
        <v>47.48</v>
      </c>
      <c r="F20" s="5">
        <f>SUM(F16:F19)</f>
        <v>45.92</v>
      </c>
      <c r="G20" s="5">
        <f>SUM(G16:G19)</f>
        <v>46.460000000000008</v>
      </c>
      <c r="H20" s="5">
        <f>SUM(H16:H19)</f>
        <v>47.349999999999994</v>
      </c>
    </row>
    <row r="21" spans="1:8" ht="18" customHeight="1">
      <c r="A21" s="11"/>
      <c r="B21" s="11"/>
      <c r="C21" s="11"/>
      <c r="D21" s="9"/>
      <c r="E21" s="9"/>
      <c r="F21" s="9"/>
      <c r="G21" s="9"/>
      <c r="H21" s="9"/>
    </row>
    <row r="22" spans="1:8" ht="18" customHeight="1">
      <c r="A22" s="11"/>
      <c r="B22" s="11"/>
      <c r="C22" s="15" t="s">
        <v>234</v>
      </c>
      <c r="D22" s="10"/>
      <c r="E22" s="10"/>
      <c r="F22" s="10"/>
      <c r="G22" s="10"/>
      <c r="H22" s="55"/>
    </row>
    <row r="23" spans="1:8" ht="18" customHeight="1">
      <c r="A23" s="11"/>
      <c r="B23" s="11"/>
      <c r="C23" s="53" t="s">
        <v>46</v>
      </c>
      <c r="D23" s="58" t="s">
        <v>11</v>
      </c>
      <c r="E23" s="58">
        <f>E11/D11-1</f>
        <v>0.18931030867980514</v>
      </c>
      <c r="F23" s="58">
        <f>F11/E11-1</f>
        <v>4.9485977744065268E-2</v>
      </c>
      <c r="G23" s="58">
        <f>G11/F11-1</f>
        <v>6.1158088636104724E-2</v>
      </c>
      <c r="H23" s="58">
        <f>H11/G11-1</f>
        <v>0.11114806271693722</v>
      </c>
    </row>
    <row r="24" spans="1:8" ht="18" customHeight="1">
      <c r="A24" s="11"/>
      <c r="B24" s="11"/>
      <c r="C24" s="53" t="s">
        <v>235</v>
      </c>
      <c r="D24" s="58" t="s">
        <v>11</v>
      </c>
      <c r="E24" s="58">
        <f t="shared" ref="E24:H25" si="0">E7/D7-1</f>
        <v>0.19221713681028585</v>
      </c>
      <c r="F24" s="58">
        <f t="shared" si="0"/>
        <v>4.8365805640468551E-2</v>
      </c>
      <c r="G24" s="58">
        <f t="shared" si="0"/>
        <v>6.1304992190605923E-2</v>
      </c>
      <c r="H24" s="58">
        <f t="shared" si="0"/>
        <v>0.11547584810412248</v>
      </c>
    </row>
    <row r="25" spans="1:8" ht="18" customHeight="1">
      <c r="A25" s="11"/>
      <c r="B25" s="11"/>
      <c r="C25" s="53" t="s">
        <v>236</v>
      </c>
      <c r="D25" s="58" t="s">
        <v>11</v>
      </c>
      <c r="E25" s="58">
        <f t="shared" si="0"/>
        <v>8.6585084276148638E-2</v>
      </c>
      <c r="F25" s="58">
        <f t="shared" si="0"/>
        <v>0.10883269584927024</v>
      </c>
      <c r="G25" s="58">
        <f t="shared" si="0"/>
        <v>5.9280079210450642E-2</v>
      </c>
      <c r="H25" s="58">
        <f t="shared" si="0"/>
        <v>-4.5529926126940956E-2</v>
      </c>
    </row>
    <row r="26" spans="1:8" ht="18" customHeight="1">
      <c r="A26" s="11"/>
      <c r="B26" s="11"/>
      <c r="C26" s="53" t="s">
        <v>237</v>
      </c>
      <c r="D26" s="58">
        <f>D7/D11</f>
        <v>0.96967531367932136</v>
      </c>
      <c r="E26" s="58">
        <f>E7/E11</f>
        <v>0.97204532549092726</v>
      </c>
      <c r="F26" s="58">
        <f>F7/F11</f>
        <v>0.97100780990697722</v>
      </c>
      <c r="G26" s="58">
        <f>G7/G11</f>
        <v>0.97114223332630667</v>
      </c>
      <c r="H26" s="58">
        <f>H7/H11</f>
        <v>0.97492471318411356</v>
      </c>
    </row>
    <row r="27" spans="1:8" ht="18" customHeight="1">
      <c r="A27" s="11"/>
      <c r="B27" s="11"/>
      <c r="C27" s="53" t="s">
        <v>238</v>
      </c>
      <c r="D27" s="58">
        <f>D8/D11</f>
        <v>2.6193029706802567E-2</v>
      </c>
      <c r="E27" s="58">
        <f>E8/E11</f>
        <v>2.3930638777533882E-2</v>
      </c>
      <c r="F27" s="58">
        <f>F8/F11</f>
        <v>2.5283877318805877E-2</v>
      </c>
      <c r="G27" s="58">
        <f>G8/G11</f>
        <v>2.5239130583677247E-2</v>
      </c>
      <c r="H27" s="58">
        <f>H8/H11</f>
        <v>2.1680274340568313E-2</v>
      </c>
    </row>
    <row r="28" spans="1:8" ht="18" customHeight="1">
      <c r="A28" s="11"/>
      <c r="B28" s="11"/>
      <c r="C28" s="53" t="s">
        <v>239</v>
      </c>
      <c r="D28" s="58">
        <f>D10/D11</f>
        <v>4.1316566138760759E-3</v>
      </c>
      <c r="E28" s="58">
        <f>E10/E11</f>
        <v>4.0240357315388456E-3</v>
      </c>
      <c r="F28" s="58">
        <f>F10/F11</f>
        <v>3.7083127742168895E-3</v>
      </c>
      <c r="G28" s="58">
        <f>G10/G11</f>
        <v>3.5356852311703457E-3</v>
      </c>
      <c r="H28" s="58">
        <f>H10/H11</f>
        <v>3.2429663245171683E-3</v>
      </c>
    </row>
    <row r="29" spans="1:8" ht="18" customHeight="1">
      <c r="A29" s="11"/>
      <c r="B29" s="11"/>
      <c r="C29" s="53" t="s">
        <v>240</v>
      </c>
      <c r="D29" s="58">
        <f>D9/D11</f>
        <v>0</v>
      </c>
      <c r="E29" s="58">
        <f>E9/E11</f>
        <v>0</v>
      </c>
      <c r="F29" s="58">
        <f>F9/F11</f>
        <v>0</v>
      </c>
      <c r="G29" s="58">
        <f>G9/G11</f>
        <v>8.2950858845795883E-5</v>
      </c>
      <c r="H29" s="58">
        <f>H9/H11</f>
        <v>1.5204615080101615E-4</v>
      </c>
    </row>
    <row r="30" spans="1:8" ht="18" customHeight="1">
      <c r="A30" s="11"/>
      <c r="B30" s="11"/>
      <c r="C30" s="11"/>
      <c r="D30" s="9"/>
      <c r="E30" s="9"/>
      <c r="F30" s="9"/>
      <c r="G30" s="9"/>
      <c r="H30" s="9"/>
    </row>
    <row r="31" spans="1:8" ht="18" customHeight="1">
      <c r="A31" s="11"/>
      <c r="B31" s="11"/>
      <c r="C31" s="15" t="s">
        <v>241</v>
      </c>
      <c r="D31" s="10"/>
      <c r="E31" s="10"/>
      <c r="F31" s="10"/>
      <c r="G31" s="10"/>
      <c r="H31" s="55"/>
    </row>
    <row r="32" spans="1:8" ht="18" customHeight="1">
      <c r="A32" s="11"/>
      <c r="B32" s="11"/>
      <c r="C32" s="28" t="s">
        <v>242</v>
      </c>
      <c r="D32" s="4" t="s">
        <v>11</v>
      </c>
      <c r="E32" s="4">
        <v>12766.84</v>
      </c>
      <c r="F32" s="4">
        <v>13711.34</v>
      </c>
      <c r="G32" s="4">
        <v>14545.98</v>
      </c>
      <c r="H32" s="4">
        <v>16096.9</v>
      </c>
    </row>
    <row r="33" spans="1:8" ht="18" customHeight="1">
      <c r="A33" s="11"/>
      <c r="B33" s="11"/>
      <c r="C33" s="28" t="s">
        <v>243</v>
      </c>
      <c r="D33" s="4" t="s">
        <v>11</v>
      </c>
      <c r="E33" s="4">
        <v>-1297.58</v>
      </c>
      <c r="F33" s="4">
        <v>-1687.36</v>
      </c>
      <c r="G33" s="4">
        <v>-1784.87</v>
      </c>
      <c r="H33" s="4">
        <v>-1862.19</v>
      </c>
    </row>
    <row r="34" spans="1:8" ht="18" customHeight="1">
      <c r="A34" s="11"/>
      <c r="B34" s="11"/>
      <c r="C34" s="41" t="s">
        <v>244</v>
      </c>
      <c r="D34" s="5" t="s">
        <v>11</v>
      </c>
      <c r="E34" s="5">
        <f>E32+E33</f>
        <v>11469.26</v>
      </c>
      <c r="F34" s="5">
        <f>F32+F33</f>
        <v>12023.98</v>
      </c>
      <c r="G34" s="5">
        <f>G32+G33</f>
        <v>12761.11</v>
      </c>
      <c r="H34" s="5">
        <f>H32+H33</f>
        <v>14234.71</v>
      </c>
    </row>
    <row r="35" spans="1:8" ht="18" customHeight="1">
      <c r="A35" s="11"/>
      <c r="B35" s="11"/>
      <c r="C35" s="28" t="s">
        <v>245</v>
      </c>
      <c r="D35" s="59" t="s">
        <v>11</v>
      </c>
      <c r="E35" s="59">
        <f>-E33/E32</f>
        <v>0.10163674018002888</v>
      </c>
      <c r="F35" s="59">
        <f>-F33/F32</f>
        <v>0.12306309959493382</v>
      </c>
      <c r="G35" s="59">
        <f>-G33/G32</f>
        <v>0.12270537976815588</v>
      </c>
      <c r="H35" s="59">
        <f>-H33/H32</f>
        <v>0.11568625014754394</v>
      </c>
    </row>
    <row r="36" spans="1:8" ht="18" customHeight="1">
      <c r="A36" s="11"/>
      <c r="B36" s="11"/>
      <c r="C36" s="43" t="s">
        <v>246</v>
      </c>
      <c r="D36" s="6" t="s">
        <v>11</v>
      </c>
      <c r="E36" s="6">
        <f>ROUND(E34-E7,2)</f>
        <v>0</v>
      </c>
      <c r="F36" s="6">
        <f>ROUND(F34-F7,2)</f>
        <v>0</v>
      </c>
      <c r="G36" s="6">
        <f>ROUND(G34-G7,2)</f>
        <v>0</v>
      </c>
      <c r="H36" s="6">
        <f>ROUND(H34-H7,2)</f>
        <v>0</v>
      </c>
    </row>
    <row r="37" spans="1:8" ht="18" customHeight="1">
      <c r="A37" s="11"/>
      <c r="B37" s="11"/>
      <c r="C37" s="11"/>
      <c r="D37" s="9"/>
      <c r="E37" s="9"/>
      <c r="F37" s="9"/>
      <c r="G37" s="9"/>
      <c r="H37" s="9"/>
    </row>
    <row r="38" spans="1:8" ht="18" customHeight="1">
      <c r="A38" s="11"/>
      <c r="B38" s="11"/>
      <c r="C38" s="15" t="s">
        <v>247</v>
      </c>
      <c r="D38" s="10"/>
      <c r="E38" s="10"/>
      <c r="F38" s="10"/>
      <c r="G38" s="10"/>
      <c r="H38" s="55"/>
    </row>
    <row r="39" spans="1:8" ht="30" customHeight="1">
      <c r="A39" s="11"/>
      <c r="B39" s="11"/>
      <c r="C39" s="27" t="s">
        <v>248</v>
      </c>
      <c r="D39" s="60"/>
      <c r="E39" s="60"/>
      <c r="F39" s="60"/>
      <c r="G39" s="60"/>
      <c r="H39" s="60"/>
    </row>
    <row r="40" spans="1:8" ht="30" customHeight="1">
      <c r="A40" s="11"/>
      <c r="B40" s="11"/>
      <c r="C40" s="27" t="s">
        <v>249</v>
      </c>
      <c r="D40" s="60"/>
      <c r="E40" s="60"/>
      <c r="F40" s="60"/>
      <c r="G40" s="60"/>
      <c r="H40" s="60"/>
    </row>
    <row r="41" spans="1:8" ht="30" customHeight="1">
      <c r="A41" s="11"/>
      <c r="B41" s="11"/>
      <c r="C41" s="27" t="s">
        <v>250</v>
      </c>
      <c r="D41" s="60"/>
      <c r="E41" s="60"/>
      <c r="F41" s="60"/>
      <c r="G41" s="60"/>
      <c r="H41" s="60"/>
    </row>
    <row r="42" spans="1:8" ht="30" customHeight="1">
      <c r="A42" s="11"/>
      <c r="B42" s="11"/>
      <c r="C42" s="27" t="s">
        <v>251</v>
      </c>
      <c r="D42" s="60"/>
      <c r="E42" s="60"/>
      <c r="F42" s="60"/>
      <c r="G42" s="60"/>
      <c r="H42" s="60"/>
    </row>
    <row r="43" spans="1:8" ht="32" customHeight="1">
      <c r="A43" s="11"/>
      <c r="B43" s="11"/>
      <c r="C43" s="33" t="s">
        <v>252</v>
      </c>
      <c r="D43" s="61"/>
      <c r="E43" s="61"/>
      <c r="F43" s="61"/>
      <c r="G43" s="61"/>
      <c r="H43" s="6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7E6E6"/>
  </sheetPr>
  <dimension ref="A1:H42"/>
  <sheetViews>
    <sheetView workbookViewId="0">
      <pane xSplit="3" ySplit="5" topLeftCell="D35" activePane="bottomRight" state="frozen"/>
      <selection pane="topRight"/>
      <selection pane="bottomLeft"/>
      <selection pane="bottomRight" activeCell="D6" sqref="D6"/>
    </sheetView>
  </sheetViews>
  <sheetFormatPr defaultRowHeight="14"/>
  <cols>
    <col min="1" max="2" width="2.5" customWidth="1"/>
    <col min="3" max="3" width="44" customWidth="1"/>
    <col min="4" max="8" width="13" customWidth="1"/>
  </cols>
  <sheetData>
    <row r="1" spans="1:8" ht="18" customHeight="1">
      <c r="A1" s="11"/>
      <c r="B1" s="11"/>
      <c r="C1" s="11"/>
      <c r="D1" s="11"/>
      <c r="E1" s="11"/>
      <c r="F1" s="11"/>
      <c r="G1" s="11"/>
      <c r="H1" s="11"/>
    </row>
    <row r="2" spans="1:8" ht="18" customHeight="1">
      <c r="A2" s="11"/>
      <c r="B2" s="11"/>
      <c r="C2" s="12" t="s">
        <v>343</v>
      </c>
      <c r="D2" s="12"/>
      <c r="E2" s="12"/>
      <c r="F2" s="12"/>
      <c r="G2" s="12"/>
      <c r="H2" s="12"/>
    </row>
    <row r="3" spans="1:8" ht="18" customHeight="1">
      <c r="A3" s="11"/>
      <c r="B3" s="11"/>
      <c r="C3" s="13" t="s">
        <v>344</v>
      </c>
      <c r="D3" s="13"/>
      <c r="E3" s="13"/>
      <c r="F3" s="13"/>
      <c r="G3" s="13"/>
      <c r="H3" s="13"/>
    </row>
    <row r="4" spans="1:8" ht="18" customHeight="1">
      <c r="A4" s="11"/>
      <c r="B4" s="11"/>
      <c r="C4" s="14"/>
      <c r="D4" s="14"/>
      <c r="E4" s="14"/>
      <c r="F4" s="14"/>
      <c r="G4" s="14"/>
      <c r="H4" s="14"/>
    </row>
    <row r="5" spans="1:8" ht="18" customHeight="1">
      <c r="A5" s="11"/>
      <c r="B5" s="11"/>
      <c r="C5" s="18" t="s">
        <v>345</v>
      </c>
      <c r="D5" s="1" t="s">
        <v>4</v>
      </c>
      <c r="E5" s="1" t="s">
        <v>5</v>
      </c>
      <c r="F5" s="1" t="s">
        <v>6</v>
      </c>
      <c r="G5" s="1" t="s">
        <v>7</v>
      </c>
      <c r="H5" s="2" t="s">
        <v>8</v>
      </c>
    </row>
    <row r="6" spans="1:8" ht="18" customHeight="1">
      <c r="A6" s="11"/>
      <c r="B6" s="11"/>
      <c r="C6" s="15" t="s">
        <v>346</v>
      </c>
      <c r="D6" s="10"/>
      <c r="E6" s="10"/>
      <c r="F6" s="10"/>
      <c r="G6" s="10"/>
      <c r="H6" s="55"/>
    </row>
    <row r="7" spans="1:8" ht="18" customHeight="1">
      <c r="A7" s="11"/>
      <c r="B7" s="11"/>
      <c r="C7" s="28" t="s">
        <v>9</v>
      </c>
      <c r="D7" s="4">
        <v>9920.9599999999991</v>
      </c>
      <c r="E7" s="4">
        <v>11799.1</v>
      </c>
      <c r="F7" s="4">
        <v>12382.99</v>
      </c>
      <c r="G7" s="4">
        <v>13140.31</v>
      </c>
      <c r="H7" s="4">
        <v>14600.83</v>
      </c>
    </row>
    <row r="8" spans="1:8" ht="18" customHeight="1">
      <c r="A8" s="11"/>
      <c r="B8" s="11"/>
      <c r="C8" s="28" t="s">
        <v>10</v>
      </c>
      <c r="D8" s="59" t="s">
        <v>11</v>
      </c>
      <c r="E8" s="59">
        <f>E7/D7-1</f>
        <v>0.18931030867980536</v>
      </c>
      <c r="F8" s="59">
        <f>F7/E7-1</f>
        <v>4.9485977744065268E-2</v>
      </c>
      <c r="G8" s="59">
        <f>G7/F7-1</f>
        <v>6.1158088636104724E-2</v>
      </c>
      <c r="H8" s="59">
        <f>H7/G7-1</f>
        <v>0.11114806271693745</v>
      </c>
    </row>
    <row r="9" spans="1:8" ht="18" customHeight="1">
      <c r="A9" s="11"/>
      <c r="B9" s="11"/>
      <c r="C9" s="28" t="s">
        <v>347</v>
      </c>
      <c r="D9" s="4">
        <v>36.299999999999997</v>
      </c>
      <c r="E9" s="4">
        <v>49.61</v>
      </c>
      <c r="F9" s="4">
        <v>139.65</v>
      </c>
      <c r="G9" s="4">
        <v>247.22</v>
      </c>
      <c r="H9" s="4">
        <v>266.18</v>
      </c>
    </row>
    <row r="10" spans="1:8" ht="18" customHeight="1">
      <c r="A10" s="11"/>
      <c r="B10" s="11"/>
      <c r="C10" s="34" t="s">
        <v>348</v>
      </c>
      <c r="D10" s="5">
        <f>D7+D9</f>
        <v>9957.2599999999984</v>
      </c>
      <c r="E10" s="5">
        <f>E7+E9</f>
        <v>11848.710000000001</v>
      </c>
      <c r="F10" s="5">
        <f>F7+F9</f>
        <v>12522.64</v>
      </c>
      <c r="G10" s="5">
        <f>G7+G9</f>
        <v>13387.529999999999</v>
      </c>
      <c r="H10" s="5">
        <f>H7+H9</f>
        <v>14867.01</v>
      </c>
    </row>
    <row r="11" spans="1:8" ht="18" customHeight="1">
      <c r="A11" s="11"/>
      <c r="B11" s="11"/>
      <c r="C11" s="15" t="s">
        <v>349</v>
      </c>
      <c r="D11" s="56"/>
      <c r="E11" s="56"/>
      <c r="F11" s="56"/>
      <c r="G11" s="56"/>
      <c r="H11" s="57"/>
    </row>
    <row r="12" spans="1:8" ht="18" customHeight="1">
      <c r="A12" s="11"/>
      <c r="B12" s="11"/>
      <c r="C12" s="28" t="s">
        <v>350</v>
      </c>
      <c r="D12" s="4">
        <v>-5040.74</v>
      </c>
      <c r="E12" s="4">
        <v>-5958.67</v>
      </c>
      <c r="F12" s="4">
        <v>-5102.5600000000004</v>
      </c>
      <c r="G12" s="4">
        <v>-5393.15</v>
      </c>
      <c r="H12" s="4">
        <v>-5620.81</v>
      </c>
    </row>
    <row r="13" spans="1:8" ht="18" customHeight="1">
      <c r="A13" s="11"/>
      <c r="B13" s="11"/>
      <c r="C13" s="28" t="s">
        <v>351</v>
      </c>
      <c r="D13" s="4">
        <v>-648.4</v>
      </c>
      <c r="E13" s="4">
        <v>-862.45</v>
      </c>
      <c r="F13" s="4">
        <v>-765.34</v>
      </c>
      <c r="G13" s="4">
        <v>-741.89</v>
      </c>
      <c r="H13" s="4">
        <v>-898.54</v>
      </c>
    </row>
    <row r="14" spans="1:8" ht="30" customHeight="1">
      <c r="A14" s="11"/>
      <c r="B14" s="11"/>
      <c r="C14" s="62" t="s">
        <v>352</v>
      </c>
      <c r="D14" s="4">
        <v>244.96</v>
      </c>
      <c r="E14" s="4">
        <v>61.72</v>
      </c>
      <c r="F14" s="4">
        <v>-126.12</v>
      </c>
      <c r="G14" s="4">
        <v>138.76</v>
      </c>
      <c r="H14" s="4">
        <v>30.3</v>
      </c>
    </row>
    <row r="15" spans="1:8" ht="18" customHeight="1">
      <c r="A15" s="11"/>
      <c r="B15" s="11"/>
      <c r="C15" s="28" t="s">
        <v>353</v>
      </c>
      <c r="D15" s="4">
        <v>-1112.3599999999999</v>
      </c>
      <c r="E15" s="4">
        <v>-1245.6300000000001</v>
      </c>
      <c r="F15" s="4">
        <v>-1465.07</v>
      </c>
      <c r="G15" s="4">
        <v>-1741.62</v>
      </c>
      <c r="H15" s="4">
        <v>-1941.22</v>
      </c>
    </row>
    <row r="16" spans="1:8" ht="18" customHeight="1">
      <c r="A16" s="11"/>
      <c r="B16" s="11"/>
      <c r="C16" s="28" t="s">
        <v>354</v>
      </c>
      <c r="D16" s="4">
        <v>-42.08</v>
      </c>
      <c r="E16" s="4">
        <v>-47.64</v>
      </c>
      <c r="F16" s="4">
        <v>-51.19</v>
      </c>
      <c r="G16" s="4">
        <v>-50.35</v>
      </c>
      <c r="H16" s="4">
        <v>-54.22</v>
      </c>
    </row>
    <row r="17" spans="1:8" ht="18" customHeight="1">
      <c r="A17" s="11"/>
      <c r="B17" s="11"/>
      <c r="C17" s="28" t="s">
        <v>355</v>
      </c>
      <c r="D17" s="4">
        <v>-239.61</v>
      </c>
      <c r="E17" s="4">
        <v>-269.74</v>
      </c>
      <c r="F17" s="4">
        <v>-340.66</v>
      </c>
      <c r="G17" s="4">
        <v>-358.48</v>
      </c>
      <c r="H17" s="4">
        <v>-394.71</v>
      </c>
    </row>
    <row r="18" spans="1:8" ht="18" customHeight="1">
      <c r="A18" s="11"/>
      <c r="B18" s="11"/>
      <c r="C18" s="28" t="s">
        <v>356</v>
      </c>
      <c r="D18" s="4">
        <v>-1517.13</v>
      </c>
      <c r="E18" s="4">
        <v>-1809.7</v>
      </c>
      <c r="F18" s="4">
        <v>-2216.63</v>
      </c>
      <c r="G18" s="4">
        <v>-2389.9</v>
      </c>
      <c r="H18" s="4">
        <v>-2651.56</v>
      </c>
    </row>
    <row r="19" spans="1:8" ht="18" customHeight="1">
      <c r="A19" s="11"/>
      <c r="B19" s="11"/>
      <c r="C19" s="34" t="s">
        <v>357</v>
      </c>
      <c r="D19" s="5">
        <f>-SUM(D12:D18)</f>
        <v>8355.3599999999988</v>
      </c>
      <c r="E19" s="5">
        <f>-SUM(E12:E18)</f>
        <v>10132.11</v>
      </c>
      <c r="F19" s="5">
        <f>-SUM(F12:F18)</f>
        <v>10067.57</v>
      </c>
      <c r="G19" s="5">
        <f>-SUM(G12:G18)</f>
        <v>10536.63</v>
      </c>
      <c r="H19" s="5">
        <f>-SUM(H12:H18)</f>
        <v>11530.759999999998</v>
      </c>
    </row>
    <row r="20" spans="1:8" ht="30" customHeight="1">
      <c r="A20" s="11"/>
      <c r="B20" s="11"/>
      <c r="C20" s="42" t="s">
        <v>358</v>
      </c>
      <c r="D20" s="5">
        <f>D10+SUM(D12:D18)</f>
        <v>1601.8999999999996</v>
      </c>
      <c r="E20" s="5">
        <f>E10+SUM(E12:E18)</f>
        <v>1716.6000000000004</v>
      </c>
      <c r="F20" s="5">
        <f>F10+SUM(F12:F18)</f>
        <v>2455.0699999999997</v>
      </c>
      <c r="G20" s="5">
        <f>G10+SUM(G12:G18)</f>
        <v>2850.8999999999996</v>
      </c>
      <c r="H20" s="5">
        <f>H10+SUM(H12:H18)</f>
        <v>3336.2500000000018</v>
      </c>
    </row>
    <row r="21" spans="1:8" ht="18" customHeight="1">
      <c r="A21" s="11"/>
      <c r="B21" s="11"/>
      <c r="C21" s="28" t="s">
        <v>359</v>
      </c>
      <c r="D21" s="4">
        <v>11.88</v>
      </c>
      <c r="E21" s="4">
        <v>6.64</v>
      </c>
      <c r="F21" s="4">
        <v>-4.05</v>
      </c>
      <c r="G21" s="4">
        <v>-3.28</v>
      </c>
      <c r="H21" s="4">
        <v>-2.37</v>
      </c>
    </row>
    <row r="22" spans="1:8" ht="18" customHeight="1">
      <c r="A22" s="11"/>
      <c r="B22" s="11"/>
      <c r="C22" s="34" t="s">
        <v>360</v>
      </c>
      <c r="D22" s="5">
        <f>D20+D21</f>
        <v>1613.7799999999997</v>
      </c>
      <c r="E22" s="5">
        <f>E20+E21</f>
        <v>1723.2400000000005</v>
      </c>
      <c r="F22" s="5">
        <f>F20+F21</f>
        <v>2451.0199999999995</v>
      </c>
      <c r="G22" s="5">
        <f>G20+G21</f>
        <v>2847.6199999999994</v>
      </c>
      <c r="H22" s="5">
        <f>H20+H21</f>
        <v>3333.8800000000019</v>
      </c>
    </row>
    <row r="23" spans="1:8" ht="18" customHeight="1">
      <c r="A23" s="11"/>
      <c r="B23" s="11"/>
      <c r="C23" s="28" t="s">
        <v>361</v>
      </c>
      <c r="D23" s="4">
        <v>0</v>
      </c>
      <c r="E23" s="4">
        <v>0</v>
      </c>
      <c r="F23" s="4">
        <v>-71.67</v>
      </c>
      <c r="G23" s="4">
        <v>-24.92</v>
      </c>
      <c r="H23" s="4">
        <v>-13.71</v>
      </c>
    </row>
    <row r="24" spans="1:8" ht="18" customHeight="1">
      <c r="A24" s="11"/>
      <c r="B24" s="11"/>
      <c r="C24" s="34" t="s">
        <v>276</v>
      </c>
      <c r="D24" s="5">
        <f>D22+D23</f>
        <v>1613.7799999999997</v>
      </c>
      <c r="E24" s="5">
        <f>E22+E23</f>
        <v>1723.2400000000005</v>
      </c>
      <c r="F24" s="5">
        <f>F22+F23</f>
        <v>2379.3499999999995</v>
      </c>
      <c r="G24" s="5">
        <f>G22+G23</f>
        <v>2822.6999999999994</v>
      </c>
      <c r="H24" s="5">
        <f>H22+H23</f>
        <v>3320.1700000000019</v>
      </c>
    </row>
    <row r="25" spans="1:8" ht="18" customHeight="1">
      <c r="A25" s="11"/>
      <c r="B25" s="11"/>
      <c r="C25" s="15" t="s">
        <v>362</v>
      </c>
      <c r="D25" s="56"/>
      <c r="E25" s="56"/>
      <c r="F25" s="56"/>
      <c r="G25" s="56"/>
      <c r="H25" s="57"/>
    </row>
    <row r="26" spans="1:8" ht="18" customHeight="1">
      <c r="A26" s="11"/>
      <c r="B26" s="11"/>
      <c r="C26" s="28" t="s">
        <v>363</v>
      </c>
      <c r="D26" s="4">
        <v>-407.94</v>
      </c>
      <c r="E26" s="4">
        <v>-438.17</v>
      </c>
      <c r="F26" s="4">
        <v>-638.63</v>
      </c>
      <c r="G26" s="4">
        <v>-712.62</v>
      </c>
      <c r="H26" s="4">
        <v>-846.13</v>
      </c>
    </row>
    <row r="27" spans="1:8" ht="18" customHeight="1">
      <c r="A27" s="11"/>
      <c r="B27" s="11"/>
      <c r="C27" s="28" t="s">
        <v>364</v>
      </c>
      <c r="D27" s="4">
        <v>0.92</v>
      </c>
      <c r="E27" s="4">
        <v>3.8</v>
      </c>
      <c r="F27" s="4">
        <v>6.7</v>
      </c>
      <c r="G27" s="4">
        <v>-13.91</v>
      </c>
      <c r="H27" s="4">
        <v>-3.32</v>
      </c>
    </row>
    <row r="28" spans="1:8" ht="18" customHeight="1">
      <c r="A28" s="11"/>
      <c r="B28" s="11"/>
      <c r="C28" s="34" t="s">
        <v>365</v>
      </c>
      <c r="D28" s="5">
        <f>D26+D27</f>
        <v>-407.02</v>
      </c>
      <c r="E28" s="5">
        <f>E26+E27</f>
        <v>-434.37</v>
      </c>
      <c r="F28" s="5">
        <f>F26+F27</f>
        <v>-631.92999999999995</v>
      </c>
      <c r="G28" s="5">
        <f>G26+G27</f>
        <v>-726.53</v>
      </c>
      <c r="H28" s="5">
        <f>H26+H27</f>
        <v>-849.45</v>
      </c>
    </row>
    <row r="29" spans="1:8" ht="18" customHeight="1">
      <c r="A29" s="11"/>
      <c r="B29" s="11"/>
      <c r="C29" s="28" t="s">
        <v>16</v>
      </c>
      <c r="D29" s="59">
        <f>-D28/D24</f>
        <v>0.25221529576522206</v>
      </c>
      <c r="E29" s="59">
        <f>-E28/E24</f>
        <v>0.25206587590817292</v>
      </c>
      <c r="F29" s="59">
        <f>-F28/F24</f>
        <v>0.26558934162691494</v>
      </c>
      <c r="G29" s="59">
        <f>-G28/G24</f>
        <v>0.25738831615120278</v>
      </c>
      <c r="H29" s="59">
        <f>-H28/H24</f>
        <v>0.25584533322088915</v>
      </c>
    </row>
    <row r="30" spans="1:8" ht="18" customHeight="1">
      <c r="A30" s="11"/>
      <c r="B30" s="11"/>
      <c r="C30" s="23" t="s">
        <v>15</v>
      </c>
      <c r="D30" s="6">
        <f>D24+D28</f>
        <v>1206.7599999999998</v>
      </c>
      <c r="E30" s="6">
        <f>E24+E28</f>
        <v>1288.8700000000003</v>
      </c>
      <c r="F30" s="6">
        <f>F24+F28</f>
        <v>1747.4199999999996</v>
      </c>
      <c r="G30" s="6">
        <f>G24+G28</f>
        <v>2096.1699999999992</v>
      </c>
      <c r="H30" s="6">
        <f>H24+H28</f>
        <v>2470.7200000000021</v>
      </c>
    </row>
    <row r="31" spans="1:8" ht="18" customHeight="1">
      <c r="A31" s="11"/>
      <c r="B31" s="11"/>
      <c r="C31" s="28" t="s">
        <v>366</v>
      </c>
      <c r="D31" s="59" t="s">
        <v>11</v>
      </c>
      <c r="E31" s="59">
        <f>E30/D30-1</f>
        <v>6.8041698432165898E-2</v>
      </c>
      <c r="F31" s="59">
        <f>F30/E30-1</f>
        <v>0.35577676569397942</v>
      </c>
      <c r="G31" s="59">
        <f>G30/F30-1</f>
        <v>0.19957995215803859</v>
      </c>
      <c r="H31" s="59">
        <f>H30/G30-1</f>
        <v>0.17868302666291536</v>
      </c>
    </row>
    <row r="32" spans="1:8" ht="18" customHeight="1">
      <c r="A32" s="11"/>
      <c r="B32" s="11"/>
      <c r="C32" s="28" t="s">
        <v>367</v>
      </c>
      <c r="D32" s="4">
        <v>1207.56</v>
      </c>
      <c r="E32" s="4">
        <v>1273.25</v>
      </c>
      <c r="F32" s="4">
        <v>1729.38</v>
      </c>
      <c r="G32" s="4">
        <v>2076.2399999999998</v>
      </c>
      <c r="H32" s="4">
        <v>2448.92</v>
      </c>
    </row>
    <row r="33" spans="1:8" ht="18" customHeight="1">
      <c r="A33" s="11"/>
      <c r="B33" s="11"/>
      <c r="C33" s="28" t="s">
        <v>368</v>
      </c>
      <c r="D33" s="4">
        <v>-0.8</v>
      </c>
      <c r="E33" s="4">
        <v>15.62</v>
      </c>
      <c r="F33" s="4">
        <v>18.04</v>
      </c>
      <c r="G33" s="4">
        <v>19.93</v>
      </c>
      <c r="H33" s="4">
        <v>21.8</v>
      </c>
    </row>
    <row r="34" spans="1:8" ht="18" customHeight="1">
      <c r="A34" s="11"/>
      <c r="B34" s="11"/>
      <c r="C34" s="28" t="s">
        <v>369</v>
      </c>
      <c r="D34" s="64">
        <v>23.76</v>
      </c>
      <c r="E34" s="64">
        <v>25.05</v>
      </c>
      <c r="F34" s="64">
        <v>34.01</v>
      </c>
      <c r="G34" s="64">
        <v>20.41</v>
      </c>
      <c r="H34" s="64">
        <v>24.07</v>
      </c>
    </row>
    <row r="35" spans="1:8" ht="18" customHeight="1">
      <c r="A35" s="11"/>
      <c r="B35" s="11"/>
      <c r="C35" s="28" t="s">
        <v>370</v>
      </c>
      <c r="D35" s="64">
        <v>23.75</v>
      </c>
      <c r="E35" s="64">
        <v>25.03</v>
      </c>
      <c r="F35" s="64">
        <v>33.979999999999997</v>
      </c>
      <c r="G35" s="64">
        <v>20.36</v>
      </c>
      <c r="H35" s="64">
        <v>24.01</v>
      </c>
    </row>
    <row r="36" spans="1:8" ht="18" customHeight="1">
      <c r="A36" s="11"/>
      <c r="B36" s="11"/>
      <c r="C36" s="15" t="s">
        <v>371</v>
      </c>
      <c r="D36" s="56"/>
      <c r="E36" s="56"/>
      <c r="F36" s="56"/>
      <c r="G36" s="56"/>
      <c r="H36" s="57"/>
    </row>
    <row r="37" spans="1:8" ht="18" customHeight="1">
      <c r="A37" s="11"/>
      <c r="B37" s="11"/>
      <c r="C37" s="34" t="s">
        <v>12</v>
      </c>
      <c r="D37" s="5">
        <f>SUM(D7,D12:D15,D18)</f>
        <v>1847.29</v>
      </c>
      <c r="E37" s="5">
        <f>SUM(E7,E12:E15,E18)</f>
        <v>1984.3700000000006</v>
      </c>
      <c r="F37" s="5">
        <f>SUM(F7,F12:F15,F18)</f>
        <v>2707.2699999999995</v>
      </c>
      <c r="G37" s="5">
        <f>SUM(G7,G12:G15,G18)</f>
        <v>3012.5099999999998</v>
      </c>
      <c r="H37" s="5">
        <f>SUM(H7,H12:H15,H18)</f>
        <v>3519.0000000000005</v>
      </c>
    </row>
    <row r="38" spans="1:8" ht="18" customHeight="1">
      <c r="A38" s="11"/>
      <c r="B38" s="11"/>
      <c r="C38" s="28" t="s">
        <v>13</v>
      </c>
      <c r="D38" s="59">
        <f>D37/D7</f>
        <v>0.18620073057446054</v>
      </c>
      <c r="E38" s="59">
        <f>E37/E7</f>
        <v>0.16817977642362558</v>
      </c>
      <c r="F38" s="59">
        <f>F37/F7</f>
        <v>0.21862813423898425</v>
      </c>
      <c r="G38" s="59">
        <f>G37/G7</f>
        <v>0.229257148423439</v>
      </c>
      <c r="H38" s="59">
        <f>H37/H7</f>
        <v>0.24101369579674584</v>
      </c>
    </row>
    <row r="39" spans="1:8" ht="18" customHeight="1">
      <c r="A39" s="11"/>
      <c r="B39" s="11"/>
      <c r="C39" s="23" t="s">
        <v>14</v>
      </c>
      <c r="D39" s="6">
        <f>D37+D17</f>
        <v>1607.6799999999998</v>
      </c>
      <c r="E39" s="6">
        <f>E37+E17</f>
        <v>1714.6300000000006</v>
      </c>
      <c r="F39" s="6">
        <f>F37+F17</f>
        <v>2366.6099999999997</v>
      </c>
      <c r="G39" s="6">
        <f>G37+G17</f>
        <v>2654.0299999999997</v>
      </c>
      <c r="H39" s="6">
        <f>H37+H17</f>
        <v>3124.2900000000004</v>
      </c>
    </row>
    <row r="40" spans="1:8" ht="18" customHeight="1">
      <c r="A40" s="11"/>
      <c r="B40" s="11"/>
      <c r="C40" s="28" t="s">
        <v>105</v>
      </c>
      <c r="D40" s="59">
        <f>D39/D7</f>
        <v>0.16204883398380801</v>
      </c>
      <c r="E40" s="59">
        <f>E39/E7</f>
        <v>0.14531871074912497</v>
      </c>
      <c r="F40" s="59">
        <f>F39/F7</f>
        <v>0.19111781564872457</v>
      </c>
      <c r="G40" s="59">
        <f>G39/G7</f>
        <v>0.20197620908486938</v>
      </c>
      <c r="H40" s="59">
        <f>H39/H7</f>
        <v>0.21398030111986788</v>
      </c>
    </row>
    <row r="41" spans="1:8" ht="18" customHeight="1">
      <c r="A41" s="11"/>
      <c r="B41" s="11"/>
      <c r="C41" s="11"/>
      <c r="D41" s="9"/>
      <c r="E41" s="9"/>
      <c r="F41" s="9"/>
      <c r="G41" s="9"/>
      <c r="H41" s="9"/>
    </row>
    <row r="42" spans="1:8" ht="30" customHeight="1">
      <c r="A42" s="11"/>
      <c r="B42" s="11"/>
      <c r="C42" s="63" t="s">
        <v>372</v>
      </c>
      <c r="D42" s="65"/>
      <c r="E42" s="65"/>
      <c r="F42" s="65"/>
      <c r="G42" s="65"/>
      <c r="H42" s="6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95959"/>
  </sheetPr>
  <dimension ref="A1:H85"/>
  <sheetViews>
    <sheetView workbookViewId="0">
      <pane xSplit="3" ySplit="5" topLeftCell="D38" activePane="bottomRight" state="frozen"/>
      <selection pane="topRight"/>
      <selection pane="bottomLeft"/>
      <selection pane="bottomRight" activeCell="D6" sqref="D6"/>
    </sheetView>
  </sheetViews>
  <sheetFormatPr defaultRowHeight="14"/>
  <cols>
    <col min="1" max="2" width="2.5" customWidth="1"/>
    <col min="3" max="3" width="49" customWidth="1"/>
    <col min="4" max="5" width="13" customWidth="1"/>
    <col min="6" max="6" width="22" customWidth="1"/>
    <col min="7" max="8" width="14" customWidth="1"/>
  </cols>
  <sheetData>
    <row r="1" spans="1:8" ht="18" customHeight="1">
      <c r="A1" s="11"/>
      <c r="B1" s="11"/>
      <c r="C1" s="11"/>
      <c r="D1" s="11"/>
      <c r="E1" s="11"/>
      <c r="F1" s="11"/>
      <c r="G1" s="11"/>
      <c r="H1" s="11"/>
    </row>
    <row r="2" spans="1:8" ht="18" customHeight="1">
      <c r="A2" s="11"/>
      <c r="B2" s="11"/>
      <c r="C2" s="12" t="s">
        <v>253</v>
      </c>
      <c r="D2" s="12"/>
      <c r="E2" s="12"/>
      <c r="F2" s="12"/>
      <c r="G2" s="12"/>
      <c r="H2" s="12"/>
    </row>
    <row r="3" spans="1:8" ht="18" customHeight="1">
      <c r="A3" s="11"/>
      <c r="B3" s="11"/>
      <c r="C3" s="13" t="s">
        <v>254</v>
      </c>
      <c r="D3" s="13"/>
      <c r="E3" s="13"/>
      <c r="F3" s="13"/>
      <c r="G3" s="13"/>
      <c r="H3" s="13"/>
    </row>
    <row r="4" spans="1:8" ht="18" customHeight="1">
      <c r="A4" s="11"/>
      <c r="B4" s="11"/>
      <c r="C4" s="14"/>
      <c r="D4" s="14"/>
      <c r="E4" s="14"/>
      <c r="F4" s="14"/>
      <c r="G4" s="14"/>
      <c r="H4" s="14"/>
    </row>
    <row r="5" spans="1:8" ht="18" customHeight="1">
      <c r="A5" s="11"/>
      <c r="B5" s="11"/>
      <c r="C5" s="18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2" t="s">
        <v>8</v>
      </c>
    </row>
    <row r="6" spans="1:8" ht="18" customHeight="1">
      <c r="A6" s="11"/>
      <c r="B6" s="11"/>
      <c r="C6" s="15" t="s">
        <v>255</v>
      </c>
      <c r="D6" s="16"/>
      <c r="E6" s="16"/>
      <c r="F6" s="16"/>
      <c r="G6" s="16"/>
      <c r="H6" s="17"/>
    </row>
    <row r="7" spans="1:8" ht="18" customHeight="1">
      <c r="A7" s="11"/>
      <c r="B7" s="11"/>
      <c r="C7" s="28" t="s">
        <v>256</v>
      </c>
      <c r="D7" s="4">
        <v>7770.44</v>
      </c>
      <c r="E7" s="4">
        <v>9359.81</v>
      </c>
      <c r="F7" s="4">
        <v>9913.02</v>
      </c>
      <c r="G7" s="4">
        <v>10335.14</v>
      </c>
      <c r="H7" s="4">
        <v>11504.5</v>
      </c>
    </row>
    <row r="8" spans="1:8" ht="18" customHeight="1">
      <c r="A8" s="11"/>
      <c r="B8" s="11"/>
      <c r="C8" s="28" t="s">
        <v>257</v>
      </c>
      <c r="D8" s="4">
        <v>2086.8200000000002</v>
      </c>
      <c r="E8" s="4">
        <v>2337.1</v>
      </c>
      <c r="F8" s="4">
        <v>2408.92</v>
      </c>
      <c r="G8" s="4">
        <v>2748.35</v>
      </c>
      <c r="H8" s="4">
        <v>3035.78</v>
      </c>
    </row>
    <row r="9" spans="1:8" ht="18" customHeight="1">
      <c r="A9" s="11"/>
      <c r="B9" s="11"/>
      <c r="C9" s="28" t="s">
        <v>233</v>
      </c>
      <c r="D9" s="4">
        <v>63.7</v>
      </c>
      <c r="E9" s="4">
        <v>102.19</v>
      </c>
      <c r="F9" s="4">
        <v>61.06</v>
      </c>
      <c r="G9" s="4">
        <v>56.82</v>
      </c>
      <c r="H9" s="4">
        <v>60.55</v>
      </c>
    </row>
    <row r="10" spans="1:8" ht="18" customHeight="1">
      <c r="A10" s="11"/>
      <c r="B10" s="11"/>
      <c r="C10" s="34" t="s">
        <v>258</v>
      </c>
      <c r="D10" s="5">
        <f>SUM(D7:D9)</f>
        <v>9920.9600000000009</v>
      </c>
      <c r="E10" s="5">
        <f>SUM(E7:E9)</f>
        <v>11799.1</v>
      </c>
      <c r="F10" s="5">
        <f>SUM(F7:F9)</f>
        <v>12383</v>
      </c>
      <c r="G10" s="5">
        <f>SUM(G7:G9)</f>
        <v>13140.31</v>
      </c>
      <c r="H10" s="5">
        <f>SUM(H7:H9)</f>
        <v>14600.83</v>
      </c>
    </row>
    <row r="11" spans="1:8" ht="18" customHeight="1">
      <c r="A11" s="11"/>
      <c r="B11" s="11"/>
      <c r="C11" s="28" t="s">
        <v>228</v>
      </c>
      <c r="D11" s="4">
        <f>'P&amp;L'!D7</f>
        <v>9920.9599999999991</v>
      </c>
      <c r="E11" s="4">
        <f>'P&amp;L'!E7</f>
        <v>11799.1</v>
      </c>
      <c r="F11" s="4">
        <f>'P&amp;L'!F7</f>
        <v>12382.99</v>
      </c>
      <c r="G11" s="4">
        <f>'P&amp;L'!G7</f>
        <v>13140.31</v>
      </c>
      <c r="H11" s="4">
        <f>'P&amp;L'!H7</f>
        <v>14600.83</v>
      </c>
    </row>
    <row r="12" spans="1:8" ht="18" customHeight="1">
      <c r="A12" s="11"/>
      <c r="B12" s="11"/>
      <c r="C12" s="43" t="s">
        <v>259</v>
      </c>
      <c r="D12" s="6">
        <f>ROUND(D10-D11,2)</f>
        <v>0</v>
      </c>
      <c r="E12" s="6">
        <f>ROUND(E10-E11,2)</f>
        <v>0</v>
      </c>
      <c r="F12" s="6">
        <f>ROUND(F10-F11,2)</f>
        <v>0.01</v>
      </c>
      <c r="G12" s="6">
        <f>ROUND(G10-G11,2)</f>
        <v>0</v>
      </c>
      <c r="H12" s="6">
        <f>ROUND(H10-H11,2)</f>
        <v>0</v>
      </c>
    </row>
    <row r="13" spans="1:8" ht="18" customHeight="1">
      <c r="A13" s="11"/>
      <c r="B13" s="11"/>
      <c r="C13" s="28" t="s">
        <v>260</v>
      </c>
      <c r="D13" s="59" t="s">
        <v>11</v>
      </c>
      <c r="E13" s="59">
        <f t="shared" ref="E13:H14" si="0">E7/D7-1</f>
        <v>0.20454054081879525</v>
      </c>
      <c r="F13" s="59">
        <f t="shared" si="0"/>
        <v>5.9104832256210438E-2</v>
      </c>
      <c r="G13" s="59">
        <f t="shared" si="0"/>
        <v>4.2582381554763238E-2</v>
      </c>
      <c r="H13" s="59">
        <f t="shared" si="0"/>
        <v>0.11314408900121342</v>
      </c>
    </row>
    <row r="14" spans="1:8" ht="18" customHeight="1">
      <c r="A14" s="11"/>
      <c r="B14" s="11"/>
      <c r="C14" s="28" t="s">
        <v>261</v>
      </c>
      <c r="D14" s="59" t="s">
        <v>11</v>
      </c>
      <c r="E14" s="59">
        <f t="shared" si="0"/>
        <v>0.1199336789948342</v>
      </c>
      <c r="F14" s="59">
        <f t="shared" si="0"/>
        <v>3.0730392366608239E-2</v>
      </c>
      <c r="G14" s="59">
        <f t="shared" si="0"/>
        <v>0.14090546801056059</v>
      </c>
      <c r="H14" s="59">
        <f t="shared" si="0"/>
        <v>0.10458274964978997</v>
      </c>
    </row>
    <row r="15" spans="1:8" ht="18" customHeight="1">
      <c r="A15" s="11"/>
      <c r="B15" s="11"/>
      <c r="C15" s="28" t="s">
        <v>262</v>
      </c>
      <c r="D15" s="59" t="s">
        <v>11</v>
      </c>
      <c r="E15" s="59">
        <f>E10/D10-1</f>
        <v>0.18931030867980514</v>
      </c>
      <c r="F15" s="59">
        <f>F10/E10-1</f>
        <v>4.9486825266333856E-2</v>
      </c>
      <c r="G15" s="59">
        <f>G10/F10-1</f>
        <v>6.1157231688605318E-2</v>
      </c>
      <c r="H15" s="59">
        <f>H10/G10-1</f>
        <v>0.11114806271693745</v>
      </c>
    </row>
    <row r="16" spans="1:8" ht="18" customHeight="1">
      <c r="A16" s="11"/>
      <c r="B16" s="11"/>
      <c r="C16" s="28" t="s">
        <v>263</v>
      </c>
      <c r="D16" s="59">
        <f>D7/D10</f>
        <v>0.78323468696577736</v>
      </c>
      <c r="E16" s="59">
        <f>E7/E10</f>
        <v>0.79326474053105733</v>
      </c>
      <c r="F16" s="59">
        <f>F7/F10</f>
        <v>0.80053460389243325</v>
      </c>
      <c r="G16" s="59">
        <f>G7/G10</f>
        <v>0.78652177916654931</v>
      </c>
      <c r="H16" s="59">
        <f>H7/H10</f>
        <v>0.78793465850913957</v>
      </c>
    </row>
    <row r="17" spans="1:8" ht="18" customHeight="1">
      <c r="A17" s="11"/>
      <c r="B17" s="11"/>
      <c r="C17" s="28" t="s">
        <v>264</v>
      </c>
      <c r="D17" s="59">
        <f>D8/D10</f>
        <v>0.21034456342934554</v>
      </c>
      <c r="E17" s="59">
        <f>E8/E10</f>
        <v>0.19807442940563261</v>
      </c>
      <c r="F17" s="59">
        <f>F8/F10</f>
        <v>0.19453444238068321</v>
      </c>
      <c r="G17" s="59">
        <f>G8/G10</f>
        <v>0.20915412193471844</v>
      </c>
      <c r="H17" s="59">
        <f>H8/H10</f>
        <v>0.2079183169723913</v>
      </c>
    </row>
    <row r="18" spans="1:8" ht="18" customHeight="1">
      <c r="A18" s="11"/>
      <c r="B18" s="11"/>
      <c r="C18" s="28" t="s">
        <v>265</v>
      </c>
      <c r="D18" s="59">
        <f>D9/D10</f>
        <v>6.420749604876947E-3</v>
      </c>
      <c r="E18" s="59">
        <f>E9/E10</f>
        <v>8.6608300633099124E-3</v>
      </c>
      <c r="F18" s="59">
        <f>F9/F10</f>
        <v>4.9309537268836306E-3</v>
      </c>
      <c r="G18" s="59">
        <f>G9/G10</f>
        <v>4.3240988987322216E-3</v>
      </c>
      <c r="H18" s="59">
        <f>H9/H10</f>
        <v>4.1470245184691557E-3</v>
      </c>
    </row>
    <row r="19" spans="1:8" ht="18" customHeight="1">
      <c r="A19" s="11"/>
      <c r="B19" s="11"/>
      <c r="C19" s="11"/>
      <c r="D19" s="4"/>
      <c r="E19" s="4"/>
      <c r="F19" s="4"/>
      <c r="G19" s="4"/>
      <c r="H19" s="4"/>
    </row>
    <row r="20" spans="1:8" ht="18" customHeight="1">
      <c r="A20" s="11"/>
      <c r="B20" s="11"/>
      <c r="C20" s="15" t="s">
        <v>266</v>
      </c>
      <c r="D20" s="56"/>
      <c r="E20" s="56"/>
      <c r="F20" s="56"/>
      <c r="G20" s="56"/>
      <c r="H20" s="57"/>
    </row>
    <row r="21" spans="1:8" ht="18" customHeight="1">
      <c r="A21" s="11"/>
      <c r="B21" s="11"/>
      <c r="C21" s="28" t="s">
        <v>267</v>
      </c>
      <c r="D21" s="4">
        <v>1933.7</v>
      </c>
      <c r="E21" s="4">
        <v>2054.8200000000002</v>
      </c>
      <c r="F21" s="4">
        <v>2716.6</v>
      </c>
      <c r="G21" s="4">
        <v>2979.18</v>
      </c>
      <c r="H21" s="4">
        <v>3546.3</v>
      </c>
    </row>
    <row r="22" spans="1:8" ht="18" customHeight="1">
      <c r="A22" s="11"/>
      <c r="B22" s="11"/>
      <c r="C22" s="28" t="s">
        <v>268</v>
      </c>
      <c r="D22" s="4">
        <v>152.69999999999999</v>
      </c>
      <c r="E22" s="4">
        <v>234.21</v>
      </c>
      <c r="F22" s="4">
        <v>319.26</v>
      </c>
      <c r="G22" s="4">
        <v>489.21</v>
      </c>
      <c r="H22" s="4">
        <v>529.30999999999995</v>
      </c>
    </row>
    <row r="23" spans="1:8" ht="18" customHeight="1">
      <c r="A23" s="11"/>
      <c r="B23" s="11"/>
      <c r="C23" s="28" t="s">
        <v>269</v>
      </c>
      <c r="D23" s="4">
        <v>-2.16</v>
      </c>
      <c r="E23" s="4">
        <v>5.67</v>
      </c>
      <c r="F23" s="4">
        <v>3.31</v>
      </c>
      <c r="G23" s="4">
        <v>0.88</v>
      </c>
      <c r="H23" s="4">
        <v>-9.2799999999999994</v>
      </c>
    </row>
    <row r="24" spans="1:8" ht="18" customHeight="1">
      <c r="A24" s="11"/>
      <c r="B24" s="11"/>
      <c r="C24" s="34" t="s">
        <v>270</v>
      </c>
      <c r="D24" s="5">
        <v>2084.2399999999998</v>
      </c>
      <c r="E24" s="5">
        <v>2294.6999999999998</v>
      </c>
      <c r="F24" s="5">
        <v>3039.17</v>
      </c>
      <c r="G24" s="5">
        <v>3469.27</v>
      </c>
      <c r="H24" s="5">
        <v>4066.33</v>
      </c>
    </row>
    <row r="25" spans="1:8" ht="18" customHeight="1">
      <c r="A25" s="11"/>
      <c r="B25" s="11"/>
      <c r="C25" s="28" t="s">
        <v>271</v>
      </c>
      <c r="D25" s="59">
        <f t="shared" ref="D25:H26" si="1">D21/D7</f>
        <v>0.248853346786025</v>
      </c>
      <c r="E25" s="59">
        <f t="shared" si="1"/>
        <v>0.2195365076855193</v>
      </c>
      <c r="F25" s="59">
        <f t="shared" si="1"/>
        <v>0.27404363150684652</v>
      </c>
      <c r="G25" s="59">
        <f t="shared" si="1"/>
        <v>0.28825734339350989</v>
      </c>
      <c r="H25" s="59">
        <f t="shared" si="1"/>
        <v>0.30825329219001263</v>
      </c>
    </row>
    <row r="26" spans="1:8" ht="18" customHeight="1">
      <c r="A26" s="11"/>
      <c r="B26" s="11"/>
      <c r="C26" s="28" t="s">
        <v>272</v>
      </c>
      <c r="D26" s="59">
        <f t="shared" si="1"/>
        <v>7.3173536768863623E-2</v>
      </c>
      <c r="E26" s="59">
        <f t="shared" si="1"/>
        <v>0.10021394035342947</v>
      </c>
      <c r="F26" s="59">
        <f t="shared" si="1"/>
        <v>0.1325324211679923</v>
      </c>
      <c r="G26" s="59">
        <f t="shared" si="1"/>
        <v>0.17800134626230282</v>
      </c>
      <c r="H26" s="59">
        <f t="shared" si="1"/>
        <v>0.17435716685662331</v>
      </c>
    </row>
    <row r="27" spans="1:8" ht="18" customHeight="1">
      <c r="A27" s="11"/>
      <c r="B27" s="11"/>
      <c r="C27" s="28" t="s">
        <v>273</v>
      </c>
      <c r="D27" s="59">
        <f>D24/D10</f>
        <v>0.21008450795084344</v>
      </c>
      <c r="E27" s="59">
        <f>E24/E10</f>
        <v>0.19448093498656674</v>
      </c>
      <c r="F27" s="59">
        <f>F24/F10</f>
        <v>0.24543083259307116</v>
      </c>
      <c r="G27" s="59">
        <f>G24/G10</f>
        <v>0.26401736336509568</v>
      </c>
      <c r="H27" s="59">
        <f>H24/H10</f>
        <v>0.27849992089490805</v>
      </c>
    </row>
    <row r="28" spans="1:8" ht="18" customHeight="1">
      <c r="A28" s="11"/>
      <c r="B28" s="11"/>
      <c r="C28" s="28" t="s">
        <v>274</v>
      </c>
      <c r="D28" s="4">
        <v>1638.18</v>
      </c>
      <c r="E28" s="4">
        <v>1755.4</v>
      </c>
      <c r="F28" s="4">
        <v>2493.83</v>
      </c>
      <c r="G28" s="4">
        <v>2885.8</v>
      </c>
      <c r="H28" s="4">
        <v>3354.3</v>
      </c>
    </row>
    <row r="29" spans="1:8" ht="18" customHeight="1">
      <c r="A29" s="11"/>
      <c r="B29" s="11"/>
      <c r="C29" s="28" t="s">
        <v>275</v>
      </c>
      <c r="D29" s="59">
        <f>D28/D10</f>
        <v>0.16512313324516981</v>
      </c>
      <c r="E29" s="59">
        <f>E28/E10</f>
        <v>0.14877405903840124</v>
      </c>
      <c r="F29" s="59">
        <f>F28/F10</f>
        <v>0.20139142372607607</v>
      </c>
      <c r="G29" s="59">
        <f>G28/G10</f>
        <v>0.21961430133687868</v>
      </c>
      <c r="H29" s="59">
        <f>H28/H10</f>
        <v>0.22973351514948123</v>
      </c>
    </row>
    <row r="30" spans="1:8" ht="18" customHeight="1">
      <c r="A30" s="11"/>
      <c r="B30" s="11"/>
      <c r="C30" s="28" t="s">
        <v>276</v>
      </c>
      <c r="D30" s="4">
        <v>1613.78</v>
      </c>
      <c r="E30" s="4">
        <v>1723.24</v>
      </c>
      <c r="F30" s="4">
        <v>2379.35</v>
      </c>
      <c r="G30" s="4">
        <v>2822.7</v>
      </c>
      <c r="H30" s="4">
        <v>3320.17</v>
      </c>
    </row>
    <row r="31" spans="1:8" ht="18" customHeight="1">
      <c r="A31" s="11"/>
      <c r="B31" s="11"/>
      <c r="C31" s="28" t="s">
        <v>277</v>
      </c>
      <c r="D31" s="4">
        <f>'P&amp;L'!D24</f>
        <v>1613.7799999999997</v>
      </c>
      <c r="E31" s="4">
        <f>'P&amp;L'!E24</f>
        <v>1723.2400000000005</v>
      </c>
      <c r="F31" s="4">
        <f>'P&amp;L'!F24</f>
        <v>2379.3499999999995</v>
      </c>
      <c r="G31" s="4">
        <f>'P&amp;L'!G24</f>
        <v>2822.6999999999994</v>
      </c>
      <c r="H31" s="4">
        <f>'P&amp;L'!H24</f>
        <v>3320.1700000000019</v>
      </c>
    </row>
    <row r="32" spans="1:8" ht="18" customHeight="1">
      <c r="A32" s="11"/>
      <c r="B32" s="11"/>
      <c r="C32" s="43" t="s">
        <v>278</v>
      </c>
      <c r="D32" s="6">
        <f>ROUND(D30-D31,2)</f>
        <v>0</v>
      </c>
      <c r="E32" s="6">
        <f>ROUND(E30-E31,2)</f>
        <v>0</v>
      </c>
      <c r="F32" s="6">
        <f>ROUND(F30-F31,2)</f>
        <v>0</v>
      </c>
      <c r="G32" s="6">
        <f>ROUND(G30-G31,2)</f>
        <v>0</v>
      </c>
      <c r="H32" s="6">
        <f>ROUND(H30-H31,2)</f>
        <v>0</v>
      </c>
    </row>
    <row r="33" spans="1:8" ht="18" customHeight="1">
      <c r="A33" s="11"/>
      <c r="B33" s="11"/>
      <c r="C33" s="11"/>
      <c r="D33" s="4"/>
      <c r="E33" s="4"/>
      <c r="F33" s="4"/>
      <c r="G33" s="4"/>
      <c r="H33" s="4"/>
    </row>
    <row r="34" spans="1:8" ht="18" customHeight="1">
      <c r="A34" s="11"/>
      <c r="B34" s="11"/>
      <c r="C34" s="15" t="s">
        <v>279</v>
      </c>
      <c r="D34" s="56"/>
      <c r="E34" s="56"/>
      <c r="F34" s="56"/>
      <c r="G34" s="56"/>
      <c r="H34" s="57"/>
    </row>
    <row r="35" spans="1:8" ht="18" customHeight="1">
      <c r="A35" s="11"/>
      <c r="B35" s="11"/>
      <c r="C35" s="28" t="s">
        <v>280</v>
      </c>
      <c r="D35" s="4">
        <v>8458.5</v>
      </c>
      <c r="E35" s="4">
        <v>10243.58</v>
      </c>
      <c r="F35" s="4">
        <v>10937.98</v>
      </c>
      <c r="G35" s="4">
        <v>11690.2</v>
      </c>
      <c r="H35" s="4">
        <v>13133.99</v>
      </c>
    </row>
    <row r="36" spans="1:8" ht="18" customHeight="1">
      <c r="A36" s="11"/>
      <c r="B36" s="11"/>
      <c r="C36" s="28" t="s">
        <v>281</v>
      </c>
      <c r="D36" s="4">
        <v>1462.46</v>
      </c>
      <c r="E36" s="4">
        <v>1555.52</v>
      </c>
      <c r="F36" s="4">
        <v>1445.01</v>
      </c>
      <c r="G36" s="4">
        <v>1450.11</v>
      </c>
      <c r="H36" s="4">
        <v>1466.84</v>
      </c>
    </row>
    <row r="37" spans="1:8" ht="18" customHeight="1">
      <c r="A37" s="11"/>
      <c r="B37" s="11"/>
      <c r="C37" s="34" t="s">
        <v>282</v>
      </c>
      <c r="D37" s="5">
        <f>SUM(D35:D36)</f>
        <v>9920.9599999999991</v>
      </c>
      <c r="E37" s="5">
        <f>SUM(E35:E36)</f>
        <v>11799.1</v>
      </c>
      <c r="F37" s="5">
        <f>SUM(F35:F36)</f>
        <v>12382.99</v>
      </c>
      <c r="G37" s="5">
        <f>SUM(G35:G36)</f>
        <v>13140.310000000001</v>
      </c>
      <c r="H37" s="5">
        <f>SUM(H35:H36)</f>
        <v>14600.83</v>
      </c>
    </row>
    <row r="38" spans="1:8" ht="18" customHeight="1">
      <c r="A38" s="11"/>
      <c r="B38" s="11"/>
      <c r="C38" s="28" t="s">
        <v>283</v>
      </c>
      <c r="D38" s="59" t="s">
        <v>11</v>
      </c>
      <c r="E38" s="59">
        <f t="shared" ref="E38:H39" si="2">E35/D35-1</f>
        <v>0.21103978246734045</v>
      </c>
      <c r="F38" s="59">
        <f t="shared" si="2"/>
        <v>6.7788800399860127E-2</v>
      </c>
      <c r="G38" s="59">
        <f t="shared" si="2"/>
        <v>6.8771381918782293E-2</v>
      </c>
      <c r="H38" s="59">
        <f t="shared" si="2"/>
        <v>0.12350430274931123</v>
      </c>
    </row>
    <row r="39" spans="1:8" ht="18" customHeight="1">
      <c r="A39" s="11"/>
      <c r="B39" s="11"/>
      <c r="C39" s="28" t="s">
        <v>284</v>
      </c>
      <c r="D39" s="59" t="s">
        <v>11</v>
      </c>
      <c r="E39" s="59">
        <f t="shared" si="2"/>
        <v>6.3632509607100429E-2</v>
      </c>
      <c r="F39" s="59">
        <f t="shared" si="2"/>
        <v>-7.1043766714667722E-2</v>
      </c>
      <c r="G39" s="59">
        <f t="shared" si="2"/>
        <v>3.5293873398798414E-3</v>
      </c>
      <c r="H39" s="59">
        <f t="shared" si="2"/>
        <v>1.1537055809559327E-2</v>
      </c>
    </row>
    <row r="40" spans="1:8" ht="18" customHeight="1">
      <c r="A40" s="11"/>
      <c r="B40" s="11"/>
      <c r="C40" s="28" t="s">
        <v>285</v>
      </c>
      <c r="D40" s="59">
        <f>D36/D37</f>
        <v>0.1474111376318421</v>
      </c>
      <c r="E40" s="59">
        <f>E36/E37</f>
        <v>0.13183378393267284</v>
      </c>
      <c r="F40" s="59">
        <f>F36/F37</f>
        <v>0.11669314115573057</v>
      </c>
      <c r="G40" s="59">
        <f>G36/G37</f>
        <v>0.11035584396410737</v>
      </c>
      <c r="H40" s="59">
        <f>H36/H37</f>
        <v>0.10046278191034345</v>
      </c>
    </row>
    <row r="41" spans="1:8" ht="18" customHeight="1">
      <c r="A41" s="11"/>
      <c r="B41" s="11"/>
      <c r="C41" s="11"/>
      <c r="D41" s="4"/>
      <c r="E41" s="4"/>
      <c r="F41" s="4"/>
      <c r="G41" s="4"/>
      <c r="H41" s="4"/>
    </row>
    <row r="42" spans="1:8" ht="18" customHeight="1">
      <c r="A42" s="11"/>
      <c r="B42" s="11"/>
      <c r="C42" s="15" t="s">
        <v>286</v>
      </c>
      <c r="D42" s="56"/>
      <c r="E42" s="56"/>
      <c r="F42" s="56"/>
      <c r="G42" s="56"/>
      <c r="H42" s="57"/>
    </row>
    <row r="43" spans="1:8" ht="18" customHeight="1">
      <c r="A43" s="11"/>
      <c r="B43" s="11"/>
      <c r="C43" s="28" t="s">
        <v>287</v>
      </c>
      <c r="D43" s="4">
        <v>6804</v>
      </c>
      <c r="E43" s="4">
        <v>7319.6</v>
      </c>
      <c r="F43" s="4">
        <v>7281.43</v>
      </c>
      <c r="G43" s="4">
        <v>7745.69</v>
      </c>
      <c r="H43" s="4">
        <v>8341.1200000000008</v>
      </c>
    </row>
    <row r="44" spans="1:8" ht="18" customHeight="1">
      <c r="A44" s="11"/>
      <c r="B44" s="11"/>
      <c r="C44" s="28" t="s">
        <v>288</v>
      </c>
      <c r="D44" s="4">
        <v>1850.86</v>
      </c>
      <c r="E44" s="4">
        <v>1830.36</v>
      </c>
      <c r="F44" s="4">
        <v>1862.11</v>
      </c>
      <c r="G44" s="4">
        <v>2122.56</v>
      </c>
      <c r="H44" s="4">
        <v>2306.67</v>
      </c>
    </row>
    <row r="45" spans="1:8" ht="18" customHeight="1">
      <c r="A45" s="11"/>
      <c r="B45" s="11"/>
      <c r="C45" s="28" t="s">
        <v>289</v>
      </c>
      <c r="D45" s="4">
        <v>11.74</v>
      </c>
      <c r="E45" s="4">
        <v>17.07</v>
      </c>
      <c r="F45" s="4">
        <v>9.25</v>
      </c>
      <c r="G45" s="4">
        <v>32.619999999999997</v>
      </c>
      <c r="H45" s="4">
        <v>46.55</v>
      </c>
    </row>
    <row r="46" spans="1:8" ht="18" customHeight="1">
      <c r="A46" s="11"/>
      <c r="B46" s="11"/>
      <c r="C46" s="11" t="s">
        <v>290</v>
      </c>
      <c r="D46" s="4">
        <f>SUM(D43:D45)</f>
        <v>8666.6</v>
      </c>
      <c r="E46" s="4">
        <f>SUM(E43:E45)</f>
        <v>9167.0300000000007</v>
      </c>
      <c r="F46" s="4">
        <f>SUM(F43:F45)</f>
        <v>9152.7900000000009</v>
      </c>
      <c r="G46" s="4">
        <f>SUM(G43:G45)</f>
        <v>9900.8700000000008</v>
      </c>
      <c r="H46" s="4">
        <f>SUM(H43:H45)</f>
        <v>10694.34</v>
      </c>
    </row>
    <row r="47" spans="1:8" ht="18" customHeight="1">
      <c r="A47" s="11"/>
      <c r="B47" s="11"/>
      <c r="C47" s="28" t="s">
        <v>291</v>
      </c>
      <c r="D47" s="4">
        <v>849.02</v>
      </c>
      <c r="E47" s="4">
        <v>1357.99</v>
      </c>
      <c r="F47" s="4">
        <v>2951.16</v>
      </c>
      <c r="G47" s="4">
        <v>4110.6000000000004</v>
      </c>
      <c r="H47" s="4">
        <v>4738.55</v>
      </c>
    </row>
    <row r="48" spans="1:8" ht="18" customHeight="1">
      <c r="A48" s="11"/>
      <c r="B48" s="11"/>
      <c r="C48" s="34" t="s">
        <v>292</v>
      </c>
      <c r="D48" s="5">
        <f>D46+D47</f>
        <v>9515.6200000000008</v>
      </c>
      <c r="E48" s="5">
        <f>E46+E47</f>
        <v>10525.02</v>
      </c>
      <c r="F48" s="5">
        <f>F46+F47</f>
        <v>12103.95</v>
      </c>
      <c r="G48" s="5">
        <f>G46+G47</f>
        <v>14011.470000000001</v>
      </c>
      <c r="H48" s="5">
        <f>H46+H47</f>
        <v>15432.89</v>
      </c>
    </row>
    <row r="49" spans="1:8" ht="18" customHeight="1">
      <c r="A49" s="11"/>
      <c r="B49" s="11"/>
      <c r="C49" s="28" t="s">
        <v>293</v>
      </c>
      <c r="D49" s="4">
        <f>'Balance Sheet'!D31</f>
        <v>9515.619999999999</v>
      </c>
      <c r="E49" s="4">
        <f>'Balance Sheet'!E31</f>
        <v>10525.02</v>
      </c>
      <c r="F49" s="4">
        <f>'Balance Sheet'!F31</f>
        <v>12103.95</v>
      </c>
      <c r="G49" s="4">
        <f>'Balance Sheet'!G31</f>
        <v>14011.470000000001</v>
      </c>
      <c r="H49" s="4">
        <f>'Balance Sheet'!H31</f>
        <v>15432.890000000003</v>
      </c>
    </row>
    <row r="50" spans="1:8" ht="18" customHeight="1">
      <c r="A50" s="11"/>
      <c r="B50" s="11"/>
      <c r="C50" s="43" t="s">
        <v>294</v>
      </c>
      <c r="D50" s="6">
        <f>ROUND(D48-D49,2)</f>
        <v>0</v>
      </c>
      <c r="E50" s="6">
        <f>ROUND(E48-E49,2)</f>
        <v>0</v>
      </c>
      <c r="F50" s="6">
        <f>ROUND(F48-F49,2)</f>
        <v>0</v>
      </c>
      <c r="G50" s="6">
        <f>ROUND(G48-G49,2)</f>
        <v>0</v>
      </c>
      <c r="H50" s="6">
        <f>ROUND(H48-H49,2)</f>
        <v>0</v>
      </c>
    </row>
    <row r="51" spans="1:8" ht="18" customHeight="1">
      <c r="A51" s="11"/>
      <c r="B51" s="11"/>
      <c r="C51" s="28" t="s">
        <v>295</v>
      </c>
      <c r="D51" s="4">
        <v>2674.37</v>
      </c>
      <c r="E51" s="4">
        <v>2514.5100000000002</v>
      </c>
      <c r="F51" s="4">
        <v>2934.7</v>
      </c>
      <c r="G51" s="4">
        <v>3504.45</v>
      </c>
      <c r="H51" s="4">
        <v>3831.77</v>
      </c>
    </row>
    <row r="52" spans="1:8" ht="18" customHeight="1">
      <c r="A52" s="11"/>
      <c r="B52" s="11"/>
      <c r="C52" s="28" t="s">
        <v>296</v>
      </c>
      <c r="D52" s="4">
        <v>238.64</v>
      </c>
      <c r="E52" s="4">
        <v>564.59</v>
      </c>
      <c r="F52" s="4">
        <v>552.24</v>
      </c>
      <c r="G52" s="4">
        <v>549.26</v>
      </c>
      <c r="H52" s="4">
        <v>552.47</v>
      </c>
    </row>
    <row r="53" spans="1:8" ht="18" customHeight="1">
      <c r="A53" s="11"/>
      <c r="B53" s="11"/>
      <c r="C53" s="34" t="s">
        <v>297</v>
      </c>
      <c r="D53" s="5">
        <f>D51+D52</f>
        <v>2913.0099999999998</v>
      </c>
      <c r="E53" s="5">
        <f>E51+E52</f>
        <v>3079.1000000000004</v>
      </c>
      <c r="F53" s="5">
        <f>F51+F52</f>
        <v>3486.9399999999996</v>
      </c>
      <c r="G53" s="5">
        <f>G51+G52</f>
        <v>4053.71</v>
      </c>
      <c r="H53" s="5">
        <f>H51+H52</f>
        <v>4384.24</v>
      </c>
    </row>
    <row r="54" spans="1:8" ht="18" customHeight="1">
      <c r="A54" s="11"/>
      <c r="B54" s="11"/>
      <c r="C54" s="28" t="s">
        <v>298</v>
      </c>
      <c r="D54" s="4">
        <f>'Balance Sheet'!D56</f>
        <v>2913.0099999999998</v>
      </c>
      <c r="E54" s="4">
        <f>'Balance Sheet'!E56</f>
        <v>3079.1000000000004</v>
      </c>
      <c r="F54" s="4">
        <f>'Balance Sheet'!F56</f>
        <v>3486.94</v>
      </c>
      <c r="G54" s="4">
        <f>'Balance Sheet'!G56</f>
        <v>4053.7100000000005</v>
      </c>
      <c r="H54" s="4">
        <f>'Balance Sheet'!H56</f>
        <v>4384.24</v>
      </c>
    </row>
    <row r="55" spans="1:8" ht="18" customHeight="1">
      <c r="A55" s="11"/>
      <c r="B55" s="11"/>
      <c r="C55" s="43" t="s">
        <v>299</v>
      </c>
      <c r="D55" s="6">
        <f>ROUND(D53-D54,2)</f>
        <v>0</v>
      </c>
      <c r="E55" s="6">
        <f>ROUND(E53-E54,2)</f>
        <v>0</v>
      </c>
      <c r="F55" s="6">
        <f>ROUND(F53-F54,2)</f>
        <v>0</v>
      </c>
      <c r="G55" s="6">
        <f>ROUND(G53-G54,2)</f>
        <v>0</v>
      </c>
      <c r="H55" s="6">
        <f>ROUND(H53-H54,2)</f>
        <v>0</v>
      </c>
    </row>
    <row r="56" spans="1:8" ht="18" customHeight="1">
      <c r="A56" s="11"/>
      <c r="B56" s="11"/>
      <c r="C56" s="28" t="s">
        <v>300</v>
      </c>
      <c r="D56" s="4">
        <v>130.5</v>
      </c>
      <c r="E56" s="4">
        <v>139.4</v>
      </c>
      <c r="F56" s="4">
        <v>162.66999999999999</v>
      </c>
      <c r="G56" s="4">
        <v>213.85</v>
      </c>
      <c r="H56" s="4">
        <v>245.95</v>
      </c>
    </row>
    <row r="57" spans="1:8" ht="18" customHeight="1">
      <c r="A57" s="11"/>
      <c r="B57" s="11"/>
      <c r="C57" s="28" t="s">
        <v>301</v>
      </c>
      <c r="D57" s="4">
        <v>54.21</v>
      </c>
      <c r="E57" s="4">
        <v>62.19</v>
      </c>
      <c r="F57" s="4">
        <v>89.35</v>
      </c>
      <c r="G57" s="4">
        <v>77.849999999999994</v>
      </c>
      <c r="H57" s="4">
        <v>79.98</v>
      </c>
    </row>
    <row r="58" spans="1:8" ht="18" customHeight="1">
      <c r="A58" s="11"/>
      <c r="B58" s="11"/>
      <c r="C58" s="11" t="s">
        <v>302</v>
      </c>
      <c r="D58" s="4">
        <f>SUM(D56:D57)</f>
        <v>184.71</v>
      </c>
      <c r="E58" s="4">
        <f>SUM(E56:E57)</f>
        <v>201.59</v>
      </c>
      <c r="F58" s="4">
        <f>SUM(F56:F57)</f>
        <v>252.01999999999998</v>
      </c>
      <c r="G58" s="4">
        <f>SUM(G56:G57)</f>
        <v>291.7</v>
      </c>
      <c r="H58" s="4">
        <f>SUM(H56:H57)</f>
        <v>325.93</v>
      </c>
    </row>
    <row r="59" spans="1:8" ht="18" customHeight="1">
      <c r="A59" s="11"/>
      <c r="B59" s="11"/>
      <c r="C59" s="28" t="s">
        <v>303</v>
      </c>
      <c r="D59" s="4">
        <v>54.9</v>
      </c>
      <c r="E59" s="4">
        <v>68.150000000000006</v>
      </c>
      <c r="F59" s="4">
        <v>88.64</v>
      </c>
      <c r="G59" s="4">
        <v>66.78</v>
      </c>
      <c r="H59" s="4">
        <v>68.78</v>
      </c>
    </row>
    <row r="60" spans="1:8" ht="18" customHeight="1">
      <c r="A60" s="11"/>
      <c r="B60" s="11"/>
      <c r="C60" s="34" t="s">
        <v>304</v>
      </c>
      <c r="D60" s="5">
        <f>D58+D59</f>
        <v>239.61</v>
      </c>
      <c r="E60" s="5">
        <f>E58+E59</f>
        <v>269.74</v>
      </c>
      <c r="F60" s="5">
        <f>F58+F59</f>
        <v>340.65999999999997</v>
      </c>
      <c r="G60" s="5">
        <f>G58+G59</f>
        <v>358.48</v>
      </c>
      <c r="H60" s="5">
        <f>H58+H59</f>
        <v>394.71000000000004</v>
      </c>
    </row>
    <row r="61" spans="1:8" ht="18" customHeight="1">
      <c r="A61" s="11"/>
      <c r="B61" s="11"/>
      <c r="C61" s="28" t="s">
        <v>305</v>
      </c>
      <c r="D61" s="4">
        <f>-'P&amp;L'!D17</f>
        <v>239.61</v>
      </c>
      <c r="E61" s="4">
        <f>-'P&amp;L'!E17</f>
        <v>269.74</v>
      </c>
      <c r="F61" s="4">
        <f>-'P&amp;L'!F17</f>
        <v>340.66</v>
      </c>
      <c r="G61" s="4">
        <f>-'P&amp;L'!G17</f>
        <v>358.48</v>
      </c>
      <c r="H61" s="4">
        <f>-'P&amp;L'!H17</f>
        <v>394.71</v>
      </c>
    </row>
    <row r="62" spans="1:8" ht="18" customHeight="1">
      <c r="A62" s="11"/>
      <c r="B62" s="11"/>
      <c r="C62" s="43" t="s">
        <v>306</v>
      </c>
      <c r="D62" s="6">
        <f>ROUND(D60-D61,2)</f>
        <v>0</v>
      </c>
      <c r="E62" s="6">
        <f>ROUND(E60-E61,2)</f>
        <v>0</v>
      </c>
      <c r="F62" s="6">
        <f>ROUND(F60-F61,2)</f>
        <v>0</v>
      </c>
      <c r="G62" s="6">
        <f>ROUND(G60-G61,2)</f>
        <v>0</v>
      </c>
      <c r="H62" s="6">
        <f>ROUND(H60-H61,2)</f>
        <v>0</v>
      </c>
    </row>
    <row r="63" spans="1:8" ht="18" customHeight="1">
      <c r="A63" s="11"/>
      <c r="B63" s="11"/>
      <c r="C63" s="28" t="s">
        <v>307</v>
      </c>
      <c r="D63" s="4">
        <v>382.59</v>
      </c>
      <c r="E63" s="4">
        <v>510.92</v>
      </c>
      <c r="F63" s="4">
        <v>510.05</v>
      </c>
      <c r="G63" s="4">
        <v>466.08</v>
      </c>
      <c r="H63" s="4">
        <v>587.53</v>
      </c>
    </row>
    <row r="64" spans="1:8" ht="18" customHeight="1">
      <c r="A64" s="11"/>
      <c r="B64" s="11"/>
      <c r="C64" s="28" t="s">
        <v>308</v>
      </c>
      <c r="D64" s="4">
        <f>-'Cash Flow'!D45</f>
        <v>374.74</v>
      </c>
      <c r="E64" s="4">
        <f>-'Cash Flow'!E45</f>
        <v>505.35</v>
      </c>
      <c r="F64" s="4">
        <f>-'Cash Flow'!F45</f>
        <v>558.71</v>
      </c>
      <c r="G64" s="4">
        <f>-'Cash Flow'!G45</f>
        <v>452.34</v>
      </c>
      <c r="H64" s="4">
        <f>-'Cash Flow'!H45</f>
        <v>592.77</v>
      </c>
    </row>
    <row r="65" spans="1:8" ht="18" customHeight="1">
      <c r="A65" s="11"/>
      <c r="B65" s="11"/>
      <c r="C65" s="41" t="s">
        <v>309</v>
      </c>
      <c r="D65" s="5">
        <f>ROUND(D63-D64,2)</f>
        <v>7.85</v>
      </c>
      <c r="E65" s="5">
        <f>ROUND(E63-E64,2)</f>
        <v>5.57</v>
      </c>
      <c r="F65" s="5">
        <f>ROUND(F63-F64,2)</f>
        <v>-48.66</v>
      </c>
      <c r="G65" s="5">
        <f>ROUND(G63-G64,2)</f>
        <v>13.74</v>
      </c>
      <c r="H65" s="5">
        <f>ROUND(H63-H64,2)</f>
        <v>-5.24</v>
      </c>
    </row>
    <row r="66" spans="1:8" ht="18" customHeight="1">
      <c r="A66" s="11"/>
      <c r="B66" s="11"/>
      <c r="C66" s="11"/>
      <c r="D66" s="11"/>
      <c r="E66" s="11"/>
      <c r="F66" s="11"/>
      <c r="G66" s="11"/>
      <c r="H66" s="11"/>
    </row>
    <row r="67" spans="1:8" ht="18" customHeight="1">
      <c r="A67" s="11"/>
      <c r="B67" s="11"/>
      <c r="C67" s="15" t="s">
        <v>310</v>
      </c>
      <c r="D67" s="16"/>
      <c r="E67" s="16"/>
      <c r="F67" s="16"/>
      <c r="G67" s="16"/>
      <c r="H67" s="17"/>
    </row>
    <row r="68" spans="1:8" ht="18" customHeight="1">
      <c r="A68" s="11"/>
      <c r="B68" s="11"/>
      <c r="C68" s="18" t="s">
        <v>311</v>
      </c>
      <c r="D68" s="19" t="s">
        <v>312</v>
      </c>
      <c r="E68" s="19" t="s">
        <v>313</v>
      </c>
      <c r="F68" s="19" t="s">
        <v>314</v>
      </c>
      <c r="G68" s="19" t="s">
        <v>315</v>
      </c>
      <c r="H68" s="20" t="s">
        <v>316</v>
      </c>
    </row>
    <row r="69" spans="1:8" ht="30" customHeight="1">
      <c r="A69" s="11"/>
      <c r="B69" s="11"/>
      <c r="C69" s="27" t="s">
        <v>317</v>
      </c>
      <c r="D69" s="79">
        <v>0.81599999999999995</v>
      </c>
      <c r="E69" s="79">
        <v>0.12</v>
      </c>
      <c r="F69" s="27" t="s">
        <v>318</v>
      </c>
      <c r="G69" s="27" t="s">
        <v>319</v>
      </c>
      <c r="H69" s="27" t="s">
        <v>320</v>
      </c>
    </row>
    <row r="70" spans="1:8" ht="30" customHeight="1">
      <c r="A70" s="11"/>
      <c r="B70" s="11"/>
      <c r="C70" s="27" t="s">
        <v>321</v>
      </c>
      <c r="D70" s="79">
        <v>0.53400000000000003</v>
      </c>
      <c r="E70" s="79">
        <v>9.4E-2</v>
      </c>
      <c r="F70" s="27" t="s">
        <v>322</v>
      </c>
      <c r="G70" s="27" t="s">
        <v>323</v>
      </c>
      <c r="H70" s="27" t="s">
        <v>320</v>
      </c>
    </row>
    <row r="71" spans="1:8" ht="30" customHeight="1">
      <c r="A71" s="11"/>
      <c r="B71" s="11"/>
      <c r="C71" s="27" t="s">
        <v>324</v>
      </c>
      <c r="D71" s="79">
        <v>0.22600000000000001</v>
      </c>
      <c r="E71" s="79">
        <v>0.20300000000000001</v>
      </c>
      <c r="F71" s="27" t="s">
        <v>322</v>
      </c>
      <c r="G71" s="27" t="s">
        <v>325</v>
      </c>
      <c r="H71" s="27" t="s">
        <v>320</v>
      </c>
    </row>
    <row r="72" spans="1:8" ht="30" customHeight="1">
      <c r="A72" s="11"/>
      <c r="B72" s="11"/>
      <c r="C72" s="27" t="s">
        <v>326</v>
      </c>
      <c r="D72" s="79">
        <v>5.6000000000000001E-2</v>
      </c>
      <c r="E72" s="79">
        <v>7.3999999999999996E-2</v>
      </c>
      <c r="F72" s="27" t="s">
        <v>322</v>
      </c>
      <c r="G72" s="27" t="s">
        <v>327</v>
      </c>
      <c r="H72" s="27" t="s">
        <v>320</v>
      </c>
    </row>
    <row r="73" spans="1:8" ht="30" customHeight="1">
      <c r="A73" s="11"/>
      <c r="B73" s="11"/>
      <c r="C73" s="27" t="s">
        <v>257</v>
      </c>
      <c r="D73" s="79">
        <v>0.18</v>
      </c>
      <c r="E73" s="79">
        <v>9.4E-2</v>
      </c>
      <c r="F73" s="27" t="s">
        <v>318</v>
      </c>
      <c r="G73" s="27" t="s">
        <v>328</v>
      </c>
      <c r="H73" s="27" t="s">
        <v>320</v>
      </c>
    </row>
    <row r="74" spans="1:8" ht="30" customHeight="1">
      <c r="A74" s="11"/>
      <c r="B74" s="11"/>
      <c r="C74" s="27" t="s">
        <v>329</v>
      </c>
      <c r="D74" s="79">
        <v>4.9000000000000002E-2</v>
      </c>
      <c r="E74" s="79">
        <v>6.6000000000000003E-2</v>
      </c>
      <c r="F74" s="27" t="s">
        <v>330</v>
      </c>
      <c r="G74" s="27" t="s">
        <v>331</v>
      </c>
      <c r="H74" s="27" t="s">
        <v>320</v>
      </c>
    </row>
    <row r="75" spans="1:8" ht="30" customHeight="1">
      <c r="A75" s="11"/>
      <c r="B75" s="11"/>
      <c r="C75" s="27" t="s">
        <v>332</v>
      </c>
      <c r="D75" s="79">
        <v>9.7000000000000003E-2</v>
      </c>
      <c r="E75" s="79">
        <v>0.189</v>
      </c>
      <c r="F75" s="27" t="s">
        <v>330</v>
      </c>
      <c r="G75" s="27" t="s">
        <v>333</v>
      </c>
      <c r="H75" s="27" t="s">
        <v>320</v>
      </c>
    </row>
    <row r="76" spans="1:8" ht="30" customHeight="1">
      <c r="A76" s="11"/>
      <c r="B76" s="11"/>
      <c r="C76" s="27" t="s">
        <v>334</v>
      </c>
      <c r="D76" s="79">
        <v>3.4000000000000002E-2</v>
      </c>
      <c r="E76" s="79">
        <v>-8.1000000000000003E-2</v>
      </c>
      <c r="F76" s="27" t="s">
        <v>330</v>
      </c>
      <c r="G76" s="27" t="s">
        <v>335</v>
      </c>
      <c r="H76" s="27" t="s">
        <v>320</v>
      </c>
    </row>
    <row r="77" spans="1:8" ht="18" customHeight="1">
      <c r="A77" s="11"/>
      <c r="B77" s="11"/>
      <c r="C77" s="11"/>
      <c r="D77" s="11"/>
      <c r="E77" s="11"/>
      <c r="F77" s="11"/>
      <c r="G77" s="11"/>
      <c r="H77" s="11"/>
    </row>
    <row r="78" spans="1:8" ht="18" customHeight="1">
      <c r="A78" s="11"/>
      <c r="B78" s="11"/>
      <c r="C78" s="15" t="s">
        <v>336</v>
      </c>
      <c r="D78" s="16"/>
      <c r="E78" s="16"/>
      <c r="F78" s="16"/>
      <c r="G78" s="16"/>
      <c r="H78" s="17"/>
    </row>
    <row r="79" spans="1:8" ht="28" customHeight="1">
      <c r="A79" s="11"/>
      <c r="B79" s="11"/>
      <c r="C79" s="27" t="s">
        <v>337</v>
      </c>
      <c r="D79" s="27"/>
      <c r="E79" s="27"/>
      <c r="F79" s="27"/>
      <c r="G79" s="27"/>
      <c r="H79" s="27"/>
    </row>
    <row r="80" spans="1:8" ht="28" customHeight="1">
      <c r="A80" s="11"/>
      <c r="B80" s="11"/>
      <c r="C80" s="27" t="s">
        <v>338</v>
      </c>
      <c r="D80" s="27"/>
      <c r="E80" s="27"/>
      <c r="F80" s="27"/>
      <c r="G80" s="27"/>
      <c r="H80" s="27"/>
    </row>
    <row r="81" spans="1:8" ht="28" customHeight="1">
      <c r="A81" s="11"/>
      <c r="B81" s="11"/>
      <c r="C81" s="27" t="s">
        <v>339</v>
      </c>
      <c r="D81" s="27"/>
      <c r="E81" s="27"/>
      <c r="F81" s="27"/>
      <c r="G81" s="27"/>
      <c r="H81" s="27"/>
    </row>
    <row r="82" spans="1:8" ht="28" customHeight="1">
      <c r="A82" s="11"/>
      <c r="B82" s="11"/>
      <c r="C82" s="27" t="s">
        <v>340</v>
      </c>
      <c r="D82" s="27"/>
      <c r="E82" s="27"/>
      <c r="F82" s="27"/>
      <c r="G82" s="27"/>
      <c r="H82" s="27"/>
    </row>
    <row r="83" spans="1:8" ht="28" customHeight="1">
      <c r="A83" s="11"/>
      <c r="B83" s="11"/>
      <c r="C83" s="27" t="s">
        <v>341</v>
      </c>
      <c r="D83" s="27"/>
      <c r="E83" s="27"/>
      <c r="F83" s="27"/>
      <c r="G83" s="27"/>
      <c r="H83" s="27"/>
    </row>
    <row r="84" spans="1:8" ht="18" customHeight="1">
      <c r="A84" s="11"/>
      <c r="B84" s="11"/>
      <c r="C84" s="11"/>
      <c r="D84" s="11"/>
      <c r="E84" s="11"/>
      <c r="F84" s="11"/>
      <c r="G84" s="11"/>
      <c r="H84" s="11"/>
    </row>
    <row r="85" spans="1:8" ht="32" customHeight="1">
      <c r="A85" s="11"/>
      <c r="B85" s="11"/>
      <c r="C85" s="33" t="s">
        <v>342</v>
      </c>
      <c r="D85" s="33"/>
      <c r="E85" s="33"/>
      <c r="F85" s="33"/>
      <c r="G85" s="33"/>
      <c r="H85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7E6E6"/>
  </sheetPr>
  <dimension ref="A1:H63"/>
  <sheetViews>
    <sheetView workbookViewId="0">
      <pane xSplit="3" ySplit="5" topLeftCell="D39" activePane="bottomRight" state="frozen"/>
      <selection pane="topRight"/>
      <selection pane="bottomLeft"/>
      <selection pane="bottomRight" activeCell="D6" sqref="D6"/>
    </sheetView>
  </sheetViews>
  <sheetFormatPr defaultRowHeight="14"/>
  <cols>
    <col min="1" max="2" width="2.5" customWidth="1"/>
    <col min="3" max="3" width="44" customWidth="1"/>
    <col min="4" max="8" width="13" customWidth="1"/>
  </cols>
  <sheetData>
    <row r="1" spans="1:8" ht="18" customHeight="1">
      <c r="A1" s="11"/>
      <c r="B1" s="11"/>
      <c r="C1" s="11"/>
      <c r="D1" s="11"/>
      <c r="E1" s="11"/>
      <c r="F1" s="11"/>
      <c r="G1" s="11"/>
      <c r="H1" s="11"/>
    </row>
    <row r="2" spans="1:8" ht="18" customHeight="1">
      <c r="A2" s="11"/>
      <c r="B2" s="11"/>
      <c r="C2" s="12" t="s">
        <v>373</v>
      </c>
      <c r="D2" s="12"/>
      <c r="E2" s="12"/>
      <c r="F2" s="12"/>
      <c r="G2" s="12"/>
      <c r="H2" s="12"/>
    </row>
    <row r="3" spans="1:8" ht="18" customHeight="1">
      <c r="A3" s="11"/>
      <c r="B3" s="11"/>
      <c r="C3" s="13" t="s">
        <v>374</v>
      </c>
      <c r="D3" s="13"/>
      <c r="E3" s="13"/>
      <c r="F3" s="13"/>
      <c r="G3" s="13"/>
      <c r="H3" s="13"/>
    </row>
    <row r="4" spans="1:8" ht="18" customHeight="1">
      <c r="A4" s="11"/>
      <c r="B4" s="11"/>
      <c r="C4" s="14"/>
      <c r="D4" s="14"/>
      <c r="E4" s="14"/>
      <c r="F4" s="14"/>
      <c r="G4" s="14"/>
      <c r="H4" s="14"/>
    </row>
    <row r="5" spans="1:8" ht="18" customHeight="1">
      <c r="A5" s="11"/>
      <c r="B5" s="11"/>
      <c r="C5" s="18" t="s">
        <v>345</v>
      </c>
      <c r="D5" s="1" t="s">
        <v>4</v>
      </c>
      <c r="E5" s="1" t="s">
        <v>5</v>
      </c>
      <c r="F5" s="1" t="s">
        <v>6</v>
      </c>
      <c r="G5" s="1" t="s">
        <v>7</v>
      </c>
      <c r="H5" s="2" t="s">
        <v>8</v>
      </c>
    </row>
    <row r="6" spans="1:8" ht="18" customHeight="1">
      <c r="A6" s="11"/>
      <c r="B6" s="11"/>
      <c r="C6" s="15" t="s">
        <v>375</v>
      </c>
      <c r="D6" s="10"/>
      <c r="E6" s="10"/>
      <c r="F6" s="10"/>
      <c r="G6" s="10"/>
      <c r="H6" s="55"/>
    </row>
    <row r="7" spans="1:8" ht="18" customHeight="1">
      <c r="A7" s="11"/>
      <c r="B7" s="11"/>
      <c r="C7" s="36" t="s">
        <v>376</v>
      </c>
      <c r="D7" s="66"/>
      <c r="E7" s="66"/>
      <c r="F7" s="66"/>
      <c r="G7" s="66"/>
      <c r="H7" s="67"/>
    </row>
    <row r="8" spans="1:8" ht="18" customHeight="1">
      <c r="A8" s="11"/>
      <c r="B8" s="11"/>
      <c r="C8" s="28" t="s">
        <v>377</v>
      </c>
      <c r="D8" s="4">
        <v>1554.86</v>
      </c>
      <c r="E8" s="4">
        <v>1690.88</v>
      </c>
      <c r="F8" s="4">
        <v>2206.4899999999998</v>
      </c>
      <c r="G8" s="4">
        <v>2409.8200000000002</v>
      </c>
      <c r="H8" s="4">
        <v>2515.3000000000002</v>
      </c>
    </row>
    <row r="9" spans="1:8" ht="18" customHeight="1">
      <c r="A9" s="11"/>
      <c r="B9" s="11"/>
      <c r="C9" s="28" t="s">
        <v>378</v>
      </c>
      <c r="D9" s="4">
        <v>202.93</v>
      </c>
      <c r="E9" s="4">
        <v>309.89999999999998</v>
      </c>
      <c r="F9" s="4">
        <v>347.97</v>
      </c>
      <c r="G9" s="4">
        <v>426.31</v>
      </c>
      <c r="H9" s="4">
        <v>415.42</v>
      </c>
    </row>
    <row r="10" spans="1:8" ht="18" customHeight="1">
      <c r="A10" s="11"/>
      <c r="B10" s="11"/>
      <c r="C10" s="28" t="s">
        <v>379</v>
      </c>
      <c r="D10" s="4">
        <v>225.42</v>
      </c>
      <c r="E10" s="4">
        <v>405.94</v>
      </c>
      <c r="F10" s="4">
        <v>148.09</v>
      </c>
      <c r="G10" s="4">
        <v>128.94999999999999</v>
      </c>
      <c r="H10" s="4">
        <v>328.87</v>
      </c>
    </row>
    <row r="11" spans="1:8" ht="18" customHeight="1">
      <c r="A11" s="11"/>
      <c r="B11" s="11"/>
      <c r="C11" s="28" t="s">
        <v>380</v>
      </c>
      <c r="D11" s="4">
        <v>1286.83</v>
      </c>
      <c r="E11" s="4">
        <v>1289.76</v>
      </c>
      <c r="F11" s="4">
        <v>1281.72</v>
      </c>
      <c r="G11" s="4">
        <v>1282.21</v>
      </c>
      <c r="H11" s="4">
        <v>1287.04</v>
      </c>
    </row>
    <row r="12" spans="1:8" ht="18" customHeight="1">
      <c r="A12" s="11"/>
      <c r="B12" s="11"/>
      <c r="C12" s="28" t="s">
        <v>381</v>
      </c>
      <c r="D12" s="4">
        <v>1658.64</v>
      </c>
      <c r="E12" s="4">
        <v>1623.54</v>
      </c>
      <c r="F12" s="4">
        <v>1614.45</v>
      </c>
      <c r="G12" s="4">
        <v>1586.95</v>
      </c>
      <c r="H12" s="4">
        <v>1555.87</v>
      </c>
    </row>
    <row r="13" spans="1:8" ht="18" customHeight="1">
      <c r="A13" s="11"/>
      <c r="B13" s="11"/>
      <c r="C13" s="28" t="s">
        <v>382</v>
      </c>
      <c r="D13" s="4">
        <v>60.66</v>
      </c>
      <c r="E13" s="4">
        <v>95.02</v>
      </c>
      <c r="F13" s="4">
        <v>104.97</v>
      </c>
      <c r="G13" s="4">
        <v>100.07</v>
      </c>
      <c r="H13" s="4">
        <v>166.22</v>
      </c>
    </row>
    <row r="14" spans="1:8" ht="18" customHeight="1">
      <c r="A14" s="11"/>
      <c r="B14" s="11"/>
      <c r="C14" s="28" t="s">
        <v>383</v>
      </c>
      <c r="D14" s="4">
        <v>224.43</v>
      </c>
      <c r="E14" s="4">
        <v>254.63</v>
      </c>
      <c r="F14" s="4">
        <v>259.91000000000003</v>
      </c>
      <c r="G14" s="4">
        <v>289.29000000000002</v>
      </c>
      <c r="H14" s="4">
        <v>263.56</v>
      </c>
    </row>
    <row r="15" spans="1:8" ht="18" customHeight="1">
      <c r="A15" s="11"/>
      <c r="B15" s="11"/>
      <c r="C15" s="28" t="s">
        <v>384</v>
      </c>
      <c r="D15" s="4">
        <v>5.05</v>
      </c>
      <c r="E15" s="4">
        <v>6.2</v>
      </c>
      <c r="F15" s="4">
        <v>7.75</v>
      </c>
      <c r="G15" s="4">
        <v>6.33</v>
      </c>
      <c r="H15" s="4">
        <v>6.78</v>
      </c>
    </row>
    <row r="16" spans="1:8" ht="18" customHeight="1">
      <c r="A16" s="11"/>
      <c r="B16" s="11"/>
      <c r="C16" s="28" t="s">
        <v>385</v>
      </c>
      <c r="D16" s="4">
        <v>64.45</v>
      </c>
      <c r="E16" s="4">
        <v>68.08</v>
      </c>
      <c r="F16" s="4">
        <v>71.650000000000006</v>
      </c>
      <c r="G16" s="4">
        <v>69.97</v>
      </c>
      <c r="H16" s="4">
        <v>52.02</v>
      </c>
    </row>
    <row r="17" spans="1:8" ht="18" customHeight="1">
      <c r="A17" s="11"/>
      <c r="B17" s="11"/>
      <c r="C17" s="28" t="s">
        <v>386</v>
      </c>
      <c r="D17" s="4">
        <v>21.28</v>
      </c>
      <c r="E17" s="4">
        <v>20.149999999999999</v>
      </c>
      <c r="F17" s="4">
        <v>28.34</v>
      </c>
      <c r="G17" s="4">
        <v>27.78</v>
      </c>
      <c r="H17" s="4">
        <v>34.03</v>
      </c>
    </row>
    <row r="18" spans="1:8" ht="18" customHeight="1">
      <c r="A18" s="11"/>
      <c r="B18" s="11"/>
      <c r="C18" s="28" t="s">
        <v>387</v>
      </c>
      <c r="D18" s="4">
        <v>140.08000000000001</v>
      </c>
      <c r="E18" s="4">
        <v>148.44</v>
      </c>
      <c r="F18" s="4">
        <v>147.76</v>
      </c>
      <c r="G18" s="4">
        <v>173.06</v>
      </c>
      <c r="H18" s="4">
        <v>193.13</v>
      </c>
    </row>
    <row r="19" spans="1:8" ht="18" customHeight="1">
      <c r="A19" s="11"/>
      <c r="B19" s="11"/>
      <c r="C19" s="28" t="s">
        <v>388</v>
      </c>
      <c r="D19" s="4">
        <v>55.38</v>
      </c>
      <c r="E19" s="4">
        <v>50.96</v>
      </c>
      <c r="F19" s="4">
        <v>48.44</v>
      </c>
      <c r="G19" s="4">
        <v>48.74</v>
      </c>
      <c r="H19" s="4">
        <v>82.77</v>
      </c>
    </row>
    <row r="20" spans="1:8" ht="18" customHeight="1">
      <c r="A20" s="11"/>
      <c r="B20" s="11"/>
      <c r="C20" s="34" t="s">
        <v>389</v>
      </c>
      <c r="D20" s="5">
        <f>SUM(D8:D19)</f>
        <v>5500.01</v>
      </c>
      <c r="E20" s="5">
        <f>SUM(E8:E19)</f>
        <v>5963.5</v>
      </c>
      <c r="F20" s="5">
        <f>SUM(F8:F19)</f>
        <v>6267.54</v>
      </c>
      <c r="G20" s="5">
        <f>SUM(G8:G19)</f>
        <v>6549.48</v>
      </c>
      <c r="H20" s="5">
        <f>SUM(H8:H19)</f>
        <v>6901.0100000000011</v>
      </c>
    </row>
    <row r="21" spans="1:8" ht="18" customHeight="1">
      <c r="A21" s="11"/>
      <c r="B21" s="11"/>
      <c r="C21" s="36" t="s">
        <v>390</v>
      </c>
      <c r="D21" s="7"/>
      <c r="E21" s="7"/>
      <c r="F21" s="7"/>
      <c r="G21" s="7"/>
      <c r="H21" s="68"/>
    </row>
    <row r="22" spans="1:8" ht="18" customHeight="1">
      <c r="A22" s="11"/>
      <c r="B22" s="11"/>
      <c r="C22" s="28" t="s">
        <v>114</v>
      </c>
      <c r="D22" s="4">
        <v>1695.09</v>
      </c>
      <c r="E22" s="4">
        <v>1817.08</v>
      </c>
      <c r="F22" s="4">
        <v>1414.9</v>
      </c>
      <c r="G22" s="4">
        <v>1685.09</v>
      </c>
      <c r="H22" s="4">
        <v>1737.6</v>
      </c>
    </row>
    <row r="23" spans="1:8" ht="18" customHeight="1">
      <c r="A23" s="11"/>
      <c r="B23" s="11"/>
      <c r="C23" s="28" t="s">
        <v>391</v>
      </c>
      <c r="D23" s="4">
        <v>173.52</v>
      </c>
      <c r="E23" s="4">
        <v>531.20000000000005</v>
      </c>
      <c r="F23" s="4">
        <v>1870.16</v>
      </c>
      <c r="G23" s="4">
        <v>3161.96</v>
      </c>
      <c r="H23" s="4">
        <v>3919.83</v>
      </c>
    </row>
    <row r="24" spans="1:8" ht="18" customHeight="1">
      <c r="A24" s="11"/>
      <c r="B24" s="11"/>
      <c r="C24" s="28" t="s">
        <v>113</v>
      </c>
      <c r="D24" s="4">
        <v>1430.54</v>
      </c>
      <c r="E24" s="4">
        <v>1535.27</v>
      </c>
      <c r="F24" s="4">
        <v>1674.69</v>
      </c>
      <c r="G24" s="4">
        <v>1811.15</v>
      </c>
      <c r="H24" s="4">
        <v>2181.1</v>
      </c>
    </row>
    <row r="25" spans="1:8" ht="18" customHeight="1">
      <c r="A25" s="11"/>
      <c r="B25" s="11"/>
      <c r="C25" s="28" t="s">
        <v>161</v>
      </c>
      <c r="D25" s="4">
        <v>352.07</v>
      </c>
      <c r="E25" s="4">
        <v>310.16000000000003</v>
      </c>
      <c r="F25" s="4">
        <v>515.14</v>
      </c>
      <c r="G25" s="4">
        <v>323.94</v>
      </c>
      <c r="H25" s="4">
        <v>232.49</v>
      </c>
    </row>
    <row r="26" spans="1:8" ht="30" customHeight="1">
      <c r="A26" s="11"/>
      <c r="B26" s="11"/>
      <c r="C26" s="62" t="s">
        <v>392</v>
      </c>
      <c r="D26" s="4">
        <v>3.1</v>
      </c>
      <c r="E26" s="4">
        <v>16.489999999999998</v>
      </c>
      <c r="F26" s="4">
        <v>18.149999999999999</v>
      </c>
      <c r="G26" s="4">
        <v>12.27</v>
      </c>
      <c r="H26" s="4">
        <v>66.41</v>
      </c>
    </row>
    <row r="27" spans="1:8" ht="18" customHeight="1">
      <c r="A27" s="11"/>
      <c r="B27" s="11"/>
      <c r="C27" s="28" t="s">
        <v>393</v>
      </c>
      <c r="D27" s="4">
        <v>17.22</v>
      </c>
      <c r="E27" s="4">
        <v>27.32</v>
      </c>
      <c r="F27" s="4">
        <v>34.159999999999997</v>
      </c>
      <c r="G27" s="4">
        <v>37.76</v>
      </c>
      <c r="H27" s="4">
        <v>37.36</v>
      </c>
    </row>
    <row r="28" spans="1:8" ht="18" customHeight="1">
      <c r="A28" s="11"/>
      <c r="B28" s="11"/>
      <c r="C28" s="28" t="s">
        <v>394</v>
      </c>
      <c r="D28" s="4">
        <v>86.01</v>
      </c>
      <c r="E28" s="4">
        <v>86.08</v>
      </c>
      <c r="F28" s="4">
        <v>26.1</v>
      </c>
      <c r="G28" s="4">
        <v>35.840000000000003</v>
      </c>
      <c r="H28" s="4">
        <v>39.049999999999997</v>
      </c>
    </row>
    <row r="29" spans="1:8" ht="30" customHeight="1">
      <c r="A29" s="11"/>
      <c r="B29" s="11"/>
      <c r="C29" s="62" t="s">
        <v>395</v>
      </c>
      <c r="D29" s="4">
        <v>258.06</v>
      </c>
      <c r="E29" s="4">
        <v>237.92</v>
      </c>
      <c r="F29" s="4">
        <v>283.11</v>
      </c>
      <c r="G29" s="4">
        <v>393.98</v>
      </c>
      <c r="H29" s="4">
        <v>318.04000000000002</v>
      </c>
    </row>
    <row r="30" spans="1:8" ht="18" customHeight="1">
      <c r="A30" s="11"/>
      <c r="B30" s="11"/>
      <c r="C30" s="34" t="s">
        <v>396</v>
      </c>
      <c r="D30" s="5">
        <f>SUM(D22:D29)</f>
        <v>4015.6099999999997</v>
      </c>
      <c r="E30" s="5">
        <f>SUM(E22:E29)</f>
        <v>4561.5199999999995</v>
      </c>
      <c r="F30" s="5">
        <f>SUM(F22:F29)</f>
        <v>5836.41</v>
      </c>
      <c r="G30" s="5">
        <f>SUM(G22:G29)</f>
        <v>7461.9900000000016</v>
      </c>
      <c r="H30" s="5">
        <f>SUM(H22:H29)</f>
        <v>8531.880000000001</v>
      </c>
    </row>
    <row r="31" spans="1:8" ht="18" customHeight="1">
      <c r="A31" s="11"/>
      <c r="B31" s="11"/>
      <c r="C31" s="23" t="s">
        <v>292</v>
      </c>
      <c r="D31" s="6">
        <f>D20+D30</f>
        <v>9515.619999999999</v>
      </c>
      <c r="E31" s="6">
        <f>E20+E30</f>
        <v>10525.02</v>
      </c>
      <c r="F31" s="6">
        <f>F20+F30</f>
        <v>12103.95</v>
      </c>
      <c r="G31" s="6">
        <f>G20+G30</f>
        <v>14011.470000000001</v>
      </c>
      <c r="H31" s="6">
        <f>H20+H30</f>
        <v>15432.890000000003</v>
      </c>
    </row>
    <row r="32" spans="1:8" ht="18" customHeight="1">
      <c r="A32" s="11"/>
      <c r="B32" s="11"/>
      <c r="C32" s="11"/>
      <c r="D32" s="4"/>
      <c r="E32" s="4"/>
      <c r="F32" s="4"/>
      <c r="G32" s="4"/>
      <c r="H32" s="4"/>
    </row>
    <row r="33" spans="1:8" ht="18" customHeight="1">
      <c r="A33" s="11"/>
      <c r="B33" s="11"/>
      <c r="C33" s="15" t="s">
        <v>397</v>
      </c>
      <c r="D33" s="56"/>
      <c r="E33" s="56"/>
      <c r="F33" s="56"/>
      <c r="G33" s="56"/>
      <c r="H33" s="57"/>
    </row>
    <row r="34" spans="1:8" ht="18" customHeight="1">
      <c r="A34" s="11"/>
      <c r="B34" s="11"/>
      <c r="C34" s="36" t="s">
        <v>398</v>
      </c>
      <c r="D34" s="7"/>
      <c r="E34" s="7"/>
      <c r="F34" s="7"/>
      <c r="G34" s="7"/>
      <c r="H34" s="68"/>
    </row>
    <row r="35" spans="1:8" ht="18" customHeight="1">
      <c r="A35" s="11"/>
      <c r="B35" s="11"/>
      <c r="C35" s="28" t="s">
        <v>399</v>
      </c>
      <c r="D35" s="4">
        <v>50.83</v>
      </c>
      <c r="E35" s="4">
        <v>50.83</v>
      </c>
      <c r="F35" s="4">
        <v>50.86</v>
      </c>
      <c r="G35" s="4">
        <v>50.86</v>
      </c>
      <c r="H35" s="4">
        <v>101.78</v>
      </c>
    </row>
    <row r="36" spans="1:8" ht="18" customHeight="1">
      <c r="A36" s="11"/>
      <c r="B36" s="11"/>
      <c r="C36" s="28" t="s">
        <v>400</v>
      </c>
      <c r="D36" s="4">
        <v>6352.88</v>
      </c>
      <c r="E36" s="4">
        <v>7161.45</v>
      </c>
      <c r="F36" s="4">
        <v>8356.2999999999993</v>
      </c>
      <c r="G36" s="4">
        <v>9703.6</v>
      </c>
      <c r="H36" s="4">
        <v>10730.39</v>
      </c>
    </row>
    <row r="37" spans="1:8" ht="18" customHeight="1">
      <c r="A37" s="11"/>
      <c r="B37" s="11"/>
      <c r="C37" s="34" t="s">
        <v>401</v>
      </c>
      <c r="D37" s="5">
        <f>D35+D36</f>
        <v>6403.71</v>
      </c>
      <c r="E37" s="5">
        <f>E35+E36</f>
        <v>7212.28</v>
      </c>
      <c r="F37" s="5">
        <f>F35+F36</f>
        <v>8407.16</v>
      </c>
      <c r="G37" s="5">
        <f>G35+G36</f>
        <v>9754.4600000000009</v>
      </c>
      <c r="H37" s="5">
        <f>H35+H36</f>
        <v>10832.17</v>
      </c>
    </row>
    <row r="38" spans="1:8" ht="18" customHeight="1">
      <c r="A38" s="11"/>
      <c r="B38" s="11"/>
      <c r="C38" s="28" t="s">
        <v>402</v>
      </c>
      <c r="D38" s="4">
        <v>198.9</v>
      </c>
      <c r="E38" s="4">
        <v>233.64</v>
      </c>
      <c r="F38" s="4">
        <v>209.85</v>
      </c>
      <c r="G38" s="4">
        <v>203.3</v>
      </c>
      <c r="H38" s="4">
        <v>216.48</v>
      </c>
    </row>
    <row r="39" spans="1:8" ht="18" customHeight="1">
      <c r="A39" s="11"/>
      <c r="B39" s="11"/>
      <c r="C39" s="23" t="s">
        <v>403</v>
      </c>
      <c r="D39" s="6">
        <f>D37+D38</f>
        <v>6602.61</v>
      </c>
      <c r="E39" s="6">
        <f>E37+E38</f>
        <v>7445.92</v>
      </c>
      <c r="F39" s="6">
        <f>F37+F38</f>
        <v>8617.01</v>
      </c>
      <c r="G39" s="6">
        <f>G37+G38</f>
        <v>9957.76</v>
      </c>
      <c r="H39" s="6">
        <f>H37+H38</f>
        <v>11048.65</v>
      </c>
    </row>
    <row r="40" spans="1:8" ht="18" customHeight="1">
      <c r="A40" s="11"/>
      <c r="B40" s="11"/>
      <c r="C40" s="36" t="s">
        <v>404</v>
      </c>
      <c r="D40" s="7"/>
      <c r="E40" s="7"/>
      <c r="F40" s="7"/>
      <c r="G40" s="7"/>
      <c r="H40" s="68"/>
    </row>
    <row r="41" spans="1:8" ht="18" customHeight="1">
      <c r="A41" s="11"/>
      <c r="B41" s="11"/>
      <c r="C41" s="28" t="s">
        <v>405</v>
      </c>
      <c r="D41" s="4">
        <v>97.76</v>
      </c>
      <c r="E41" s="4">
        <v>175.63</v>
      </c>
      <c r="F41" s="4">
        <v>193.83</v>
      </c>
      <c r="G41" s="4">
        <v>220.23</v>
      </c>
      <c r="H41" s="4">
        <v>219.45</v>
      </c>
    </row>
    <row r="42" spans="1:8" ht="18" customHeight="1">
      <c r="A42" s="11"/>
      <c r="B42" s="11"/>
      <c r="C42" s="28" t="s">
        <v>406</v>
      </c>
      <c r="D42" s="4">
        <v>19.940000000000001</v>
      </c>
      <c r="E42" s="4">
        <v>14.45</v>
      </c>
      <c r="F42" s="4">
        <v>4.42</v>
      </c>
      <c r="G42" s="4">
        <v>3.87</v>
      </c>
      <c r="H42" s="4">
        <v>10.27</v>
      </c>
    </row>
    <row r="43" spans="1:8" ht="18" customHeight="1">
      <c r="A43" s="11"/>
      <c r="B43" s="11"/>
      <c r="C43" s="28" t="s">
        <v>407</v>
      </c>
      <c r="D43" s="4">
        <v>71.83</v>
      </c>
      <c r="E43" s="4">
        <v>80.25</v>
      </c>
      <c r="F43" s="4">
        <v>98.73</v>
      </c>
      <c r="G43" s="4">
        <v>134.36000000000001</v>
      </c>
      <c r="H43" s="4">
        <v>156.5</v>
      </c>
    </row>
    <row r="44" spans="1:8" ht="18" customHeight="1">
      <c r="A44" s="11"/>
      <c r="B44" s="11"/>
      <c r="C44" s="28" t="s">
        <v>408</v>
      </c>
      <c r="D44" s="4">
        <v>398.45</v>
      </c>
      <c r="E44" s="4">
        <v>398.15</v>
      </c>
      <c r="F44" s="4">
        <v>392.38</v>
      </c>
      <c r="G44" s="4">
        <v>405.4</v>
      </c>
      <c r="H44" s="4">
        <v>412.65</v>
      </c>
    </row>
    <row r="45" spans="1:8" ht="18" customHeight="1">
      <c r="A45" s="11"/>
      <c r="B45" s="11"/>
      <c r="C45" s="34" t="s">
        <v>409</v>
      </c>
      <c r="D45" s="5">
        <f>SUM(D41:D44)</f>
        <v>587.98</v>
      </c>
      <c r="E45" s="5">
        <f>SUM(E41:E44)</f>
        <v>668.48</v>
      </c>
      <c r="F45" s="5">
        <f>SUM(F41:F44)</f>
        <v>689.36</v>
      </c>
      <c r="G45" s="5">
        <f>SUM(G41:G44)</f>
        <v>763.86</v>
      </c>
      <c r="H45" s="5">
        <f>SUM(H41:H44)</f>
        <v>798.87</v>
      </c>
    </row>
    <row r="46" spans="1:8" ht="18" customHeight="1">
      <c r="A46" s="11"/>
      <c r="B46" s="11"/>
      <c r="C46" s="36" t="s">
        <v>410</v>
      </c>
      <c r="D46" s="7"/>
      <c r="E46" s="7"/>
      <c r="F46" s="7"/>
      <c r="G46" s="7"/>
      <c r="H46" s="68"/>
    </row>
    <row r="47" spans="1:8" ht="18" customHeight="1">
      <c r="A47" s="11"/>
      <c r="B47" s="11"/>
      <c r="C47" s="28" t="s">
        <v>411</v>
      </c>
      <c r="D47" s="4">
        <v>285.62</v>
      </c>
      <c r="E47" s="4">
        <v>163.26</v>
      </c>
      <c r="F47" s="4">
        <v>131.15</v>
      </c>
      <c r="G47" s="4">
        <v>147.18</v>
      </c>
      <c r="H47" s="4">
        <v>105.91</v>
      </c>
    </row>
    <row r="48" spans="1:8" ht="18" customHeight="1">
      <c r="A48" s="11"/>
      <c r="B48" s="11"/>
      <c r="C48" s="28" t="s">
        <v>412</v>
      </c>
      <c r="D48" s="4">
        <v>32.450000000000003</v>
      </c>
      <c r="E48" s="4">
        <v>51.72</v>
      </c>
      <c r="F48" s="4">
        <v>57.49</v>
      </c>
      <c r="G48" s="4">
        <v>86.73</v>
      </c>
      <c r="H48" s="4">
        <v>91.85</v>
      </c>
    </row>
    <row r="49" spans="1:8" ht="18" customHeight="1">
      <c r="A49" s="11"/>
      <c r="B49" s="11"/>
      <c r="C49" s="28" t="s">
        <v>413</v>
      </c>
      <c r="D49" s="4">
        <v>89.5</v>
      </c>
      <c r="E49" s="4">
        <v>76.56</v>
      </c>
      <c r="F49" s="4">
        <v>94.28</v>
      </c>
      <c r="G49" s="4">
        <v>60.49</v>
      </c>
      <c r="H49" s="4">
        <v>90.56</v>
      </c>
    </row>
    <row r="50" spans="1:8" ht="18" customHeight="1">
      <c r="A50" s="11"/>
      <c r="B50" s="11"/>
      <c r="C50" s="28" t="s">
        <v>414</v>
      </c>
      <c r="D50" s="4">
        <v>959.79</v>
      </c>
      <c r="E50" s="4">
        <v>987.03</v>
      </c>
      <c r="F50" s="4">
        <v>1053.32</v>
      </c>
      <c r="G50" s="4">
        <v>1329.56</v>
      </c>
      <c r="H50" s="4">
        <v>1446.07</v>
      </c>
    </row>
    <row r="51" spans="1:8" ht="18" customHeight="1">
      <c r="A51" s="11"/>
      <c r="B51" s="11"/>
      <c r="C51" s="28" t="s">
        <v>406</v>
      </c>
      <c r="D51" s="4">
        <v>780.32</v>
      </c>
      <c r="E51" s="4">
        <v>938.06</v>
      </c>
      <c r="F51" s="4">
        <v>1111.6300000000001</v>
      </c>
      <c r="G51" s="4">
        <v>1283.8</v>
      </c>
      <c r="H51" s="4">
        <v>1461.92</v>
      </c>
    </row>
    <row r="52" spans="1:8" ht="18" customHeight="1">
      <c r="A52" s="11"/>
      <c r="B52" s="11"/>
      <c r="C52" s="28" t="s">
        <v>415</v>
      </c>
      <c r="D52" s="4">
        <v>120.92</v>
      </c>
      <c r="E52" s="4">
        <v>115.19</v>
      </c>
      <c r="F52" s="4">
        <v>125.28</v>
      </c>
      <c r="G52" s="4">
        <v>102.07</v>
      </c>
      <c r="H52" s="4">
        <v>97.01</v>
      </c>
    </row>
    <row r="53" spans="1:8" ht="18" customHeight="1">
      <c r="A53" s="11"/>
      <c r="B53" s="11"/>
      <c r="C53" s="28" t="s">
        <v>407</v>
      </c>
      <c r="D53" s="4">
        <v>42.69</v>
      </c>
      <c r="E53" s="4">
        <v>34.979999999999997</v>
      </c>
      <c r="F53" s="4">
        <v>196.16</v>
      </c>
      <c r="G53" s="4">
        <v>249.64</v>
      </c>
      <c r="H53" s="4">
        <v>257.62</v>
      </c>
    </row>
    <row r="54" spans="1:8" ht="18" customHeight="1">
      <c r="A54" s="11"/>
      <c r="B54" s="11"/>
      <c r="C54" s="28" t="s">
        <v>416</v>
      </c>
      <c r="D54" s="4">
        <v>13.74</v>
      </c>
      <c r="E54" s="4">
        <v>43.82</v>
      </c>
      <c r="F54" s="4">
        <v>28.27</v>
      </c>
      <c r="G54" s="4">
        <v>30.38</v>
      </c>
      <c r="H54" s="4">
        <v>34.43</v>
      </c>
    </row>
    <row r="55" spans="1:8" ht="18" customHeight="1">
      <c r="A55" s="11"/>
      <c r="B55" s="11"/>
      <c r="C55" s="34" t="s">
        <v>417</v>
      </c>
      <c r="D55" s="5">
        <f>SUM(D47:D54)</f>
        <v>2325.0299999999997</v>
      </c>
      <c r="E55" s="5">
        <f>SUM(E47:E54)</f>
        <v>2410.6200000000003</v>
      </c>
      <c r="F55" s="5">
        <f>SUM(F47:F54)</f>
        <v>2797.58</v>
      </c>
      <c r="G55" s="5">
        <f>SUM(G47:G54)</f>
        <v>3289.8500000000004</v>
      </c>
      <c r="H55" s="5">
        <f>SUM(H47:H54)</f>
        <v>3585.37</v>
      </c>
    </row>
    <row r="56" spans="1:8" ht="18" customHeight="1">
      <c r="A56" s="11"/>
      <c r="B56" s="11"/>
      <c r="C56" s="34" t="s">
        <v>297</v>
      </c>
      <c r="D56" s="5">
        <f>D45+D55</f>
        <v>2913.0099999999998</v>
      </c>
      <c r="E56" s="5">
        <f>E45+E55</f>
        <v>3079.1000000000004</v>
      </c>
      <c r="F56" s="5">
        <f>F45+F55</f>
        <v>3486.94</v>
      </c>
      <c r="G56" s="5">
        <f>G45+G55</f>
        <v>4053.7100000000005</v>
      </c>
      <c r="H56" s="5">
        <f>H45+H55</f>
        <v>4384.24</v>
      </c>
    </row>
    <row r="57" spans="1:8" ht="18" customHeight="1">
      <c r="A57" s="11"/>
      <c r="B57" s="11"/>
      <c r="C57" s="23" t="s">
        <v>418</v>
      </c>
      <c r="D57" s="6">
        <f>D39+D56</f>
        <v>9515.619999999999</v>
      </c>
      <c r="E57" s="6">
        <f>E39+E56</f>
        <v>10525.02</v>
      </c>
      <c r="F57" s="6">
        <f>F39+F56</f>
        <v>12103.95</v>
      </c>
      <c r="G57" s="6">
        <f>G39+G56</f>
        <v>14011.470000000001</v>
      </c>
      <c r="H57" s="6">
        <f>H39+H56</f>
        <v>15432.89</v>
      </c>
    </row>
    <row r="58" spans="1:8" ht="18" customHeight="1">
      <c r="A58" s="11"/>
      <c r="B58" s="11"/>
      <c r="C58" s="11"/>
      <c r="D58" s="4"/>
      <c r="E58" s="4"/>
      <c r="F58" s="4"/>
      <c r="G58" s="4"/>
      <c r="H58" s="4"/>
    </row>
    <row r="59" spans="1:8" ht="18" customHeight="1">
      <c r="A59" s="11"/>
      <c r="B59" s="11"/>
      <c r="C59" s="15" t="s">
        <v>419</v>
      </c>
      <c r="D59" s="56"/>
      <c r="E59" s="56"/>
      <c r="F59" s="56"/>
      <c r="G59" s="56"/>
      <c r="H59" s="57"/>
    </row>
    <row r="60" spans="1:8" ht="18" customHeight="1">
      <c r="A60" s="11"/>
      <c r="B60" s="11"/>
      <c r="C60" s="34" t="s">
        <v>420</v>
      </c>
      <c r="D60" s="5">
        <f>D49+D50</f>
        <v>1049.29</v>
      </c>
      <c r="E60" s="5">
        <f>E49+E50</f>
        <v>1063.5899999999999</v>
      </c>
      <c r="F60" s="5">
        <f>F49+F50</f>
        <v>1147.5999999999999</v>
      </c>
      <c r="G60" s="5">
        <f>G49+G50</f>
        <v>1390.05</v>
      </c>
      <c r="H60" s="5">
        <f>H49+H50</f>
        <v>1536.6299999999999</v>
      </c>
    </row>
    <row r="61" spans="1:8" ht="18" customHeight="1">
      <c r="A61" s="11"/>
      <c r="B61" s="11"/>
      <c r="C61" s="34" t="s">
        <v>185</v>
      </c>
      <c r="D61" s="5">
        <f>SUM(D41,D47,D48)</f>
        <v>415.83</v>
      </c>
      <c r="E61" s="5">
        <f>SUM(E41,E47,E48)</f>
        <v>390.61</v>
      </c>
      <c r="F61" s="5">
        <f>SUM(F41,F47,F48)</f>
        <v>382.47</v>
      </c>
      <c r="G61" s="5">
        <f>SUM(G41,G47,G48)</f>
        <v>454.14</v>
      </c>
      <c r="H61" s="5">
        <f>SUM(H41,H47,H48)</f>
        <v>417.21000000000004</v>
      </c>
    </row>
    <row r="62" spans="1:8" ht="18" customHeight="1">
      <c r="A62" s="11"/>
      <c r="B62" s="11"/>
      <c r="C62" s="34" t="s">
        <v>421</v>
      </c>
      <c r="D62" s="5">
        <f>SUM(D14,D23,D25,D26)</f>
        <v>753.12</v>
      </c>
      <c r="E62" s="5">
        <f>SUM(E14,E23,E25,E26)</f>
        <v>1112.48</v>
      </c>
      <c r="F62" s="5">
        <f>SUM(F14,F23,F25,F26)</f>
        <v>2663.36</v>
      </c>
      <c r="G62" s="5">
        <f>SUM(G14,G23,G25,G26)</f>
        <v>3787.46</v>
      </c>
      <c r="H62" s="5">
        <f>SUM(H14,H23,H25,H26)</f>
        <v>4482.29</v>
      </c>
    </row>
    <row r="63" spans="1:8" ht="18" customHeight="1">
      <c r="A63" s="11"/>
      <c r="B63" s="11"/>
      <c r="C63" s="23" t="s">
        <v>422</v>
      </c>
      <c r="D63" s="6">
        <f>D62-D61</f>
        <v>337.29</v>
      </c>
      <c r="E63" s="6">
        <f>E62-E61</f>
        <v>721.87</v>
      </c>
      <c r="F63" s="6">
        <f>F62-F61</f>
        <v>2280.8900000000003</v>
      </c>
      <c r="G63" s="6">
        <f>G62-G61</f>
        <v>3333.32</v>
      </c>
      <c r="H63" s="6">
        <f>H62-H61</f>
        <v>4065.08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7E6E6"/>
  </sheetPr>
  <dimension ref="A1:H82"/>
  <sheetViews>
    <sheetView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defaultRowHeight="14"/>
  <cols>
    <col min="1" max="2" width="2.5" customWidth="1"/>
    <col min="3" max="3" width="44" customWidth="1"/>
    <col min="4" max="8" width="13" customWidth="1"/>
  </cols>
  <sheetData>
    <row r="1" spans="1:8" ht="18" customHeight="1">
      <c r="A1" s="11"/>
      <c r="B1" s="11"/>
      <c r="C1" s="11"/>
      <c r="D1" s="11"/>
      <c r="E1" s="11"/>
      <c r="F1" s="11"/>
      <c r="G1" s="11"/>
      <c r="H1" s="11"/>
    </row>
    <row r="2" spans="1:8" ht="18" customHeight="1">
      <c r="A2" s="11"/>
      <c r="B2" s="11"/>
      <c r="C2" s="12" t="s">
        <v>423</v>
      </c>
      <c r="D2" s="12"/>
      <c r="E2" s="12"/>
      <c r="F2" s="12"/>
      <c r="G2" s="12"/>
      <c r="H2" s="12"/>
    </row>
    <row r="3" spans="1:8" ht="18" customHeight="1">
      <c r="A3" s="11"/>
      <c r="B3" s="11"/>
      <c r="C3" s="13" t="s">
        <v>424</v>
      </c>
      <c r="D3" s="13"/>
      <c r="E3" s="13"/>
      <c r="F3" s="13"/>
      <c r="G3" s="13"/>
      <c r="H3" s="13"/>
    </row>
    <row r="4" spans="1:8" ht="18" customHeight="1">
      <c r="A4" s="11"/>
      <c r="B4" s="11"/>
      <c r="C4" s="14"/>
      <c r="D4" s="14"/>
      <c r="E4" s="14"/>
      <c r="F4" s="14"/>
      <c r="G4" s="14"/>
      <c r="H4" s="14"/>
    </row>
    <row r="5" spans="1:8" ht="18" customHeight="1">
      <c r="A5" s="11"/>
      <c r="B5" s="11"/>
      <c r="C5" s="18" t="s">
        <v>345</v>
      </c>
      <c r="D5" s="1" t="s">
        <v>4</v>
      </c>
      <c r="E5" s="1" t="s">
        <v>5</v>
      </c>
      <c r="F5" s="1" t="s">
        <v>6</v>
      </c>
      <c r="G5" s="1" t="s">
        <v>7</v>
      </c>
      <c r="H5" s="2" t="s">
        <v>8</v>
      </c>
    </row>
    <row r="6" spans="1:8" ht="18" customHeight="1">
      <c r="A6" s="11"/>
      <c r="B6" s="11"/>
      <c r="C6" s="15" t="s">
        <v>425</v>
      </c>
      <c r="D6" s="10"/>
      <c r="E6" s="10"/>
      <c r="F6" s="10"/>
      <c r="G6" s="10"/>
      <c r="H6" s="55"/>
    </row>
    <row r="7" spans="1:8" ht="18" customHeight="1">
      <c r="A7" s="11"/>
      <c r="B7" s="11"/>
      <c r="C7" s="28" t="s">
        <v>276</v>
      </c>
      <c r="D7" s="4">
        <v>1613.78</v>
      </c>
      <c r="E7" s="4">
        <v>1723.24</v>
      </c>
      <c r="F7" s="4">
        <v>2379.35</v>
      </c>
      <c r="G7" s="4">
        <v>2822.7</v>
      </c>
      <c r="H7" s="4">
        <v>3320.17</v>
      </c>
    </row>
    <row r="8" spans="1:8" ht="18" customHeight="1">
      <c r="A8" s="11"/>
      <c r="B8" s="11"/>
      <c r="C8" s="36" t="s">
        <v>426</v>
      </c>
      <c r="D8" s="7"/>
      <c r="E8" s="7"/>
      <c r="F8" s="7"/>
      <c r="G8" s="7"/>
      <c r="H8" s="68"/>
    </row>
    <row r="9" spans="1:8" ht="18" customHeight="1">
      <c r="A9" s="11"/>
      <c r="B9" s="11"/>
      <c r="C9" s="28" t="s">
        <v>427</v>
      </c>
      <c r="D9" s="4">
        <v>-11.88</v>
      </c>
      <c r="E9" s="4">
        <v>-6.64</v>
      </c>
      <c r="F9" s="4">
        <v>4.05</v>
      </c>
      <c r="G9" s="4">
        <v>3.28</v>
      </c>
      <c r="H9" s="4">
        <v>2.37</v>
      </c>
    </row>
    <row r="10" spans="1:8" ht="18" customHeight="1">
      <c r="A10" s="11"/>
      <c r="B10" s="11"/>
      <c r="C10" s="28" t="s">
        <v>354</v>
      </c>
      <c r="D10" s="4">
        <v>42.08</v>
      </c>
      <c r="E10" s="4">
        <v>47.64</v>
      </c>
      <c r="F10" s="4">
        <v>51.19</v>
      </c>
      <c r="G10" s="4">
        <v>50.35</v>
      </c>
      <c r="H10" s="4">
        <v>54.22</v>
      </c>
    </row>
    <row r="11" spans="1:8" ht="18" customHeight="1">
      <c r="A11" s="11"/>
      <c r="B11" s="11"/>
      <c r="C11" s="28" t="s">
        <v>428</v>
      </c>
      <c r="D11" s="4">
        <v>-4.58</v>
      </c>
      <c r="E11" s="4">
        <v>-7.63</v>
      </c>
      <c r="F11" s="4">
        <v>-12.1</v>
      </c>
      <c r="G11" s="4">
        <v>-15.45</v>
      </c>
      <c r="H11" s="4">
        <v>-18.11</v>
      </c>
    </row>
    <row r="12" spans="1:8" ht="18" customHeight="1">
      <c r="A12" s="11"/>
      <c r="B12" s="11"/>
      <c r="C12" s="28" t="s">
        <v>429</v>
      </c>
      <c r="D12" s="4">
        <v>-1.22</v>
      </c>
      <c r="E12" s="4">
        <v>-1.21</v>
      </c>
      <c r="F12" s="4">
        <v>-0.33</v>
      </c>
      <c r="G12" s="4">
        <v>0</v>
      </c>
      <c r="H12" s="4">
        <v>0</v>
      </c>
    </row>
    <row r="13" spans="1:8" ht="18" customHeight="1">
      <c r="A13" s="11"/>
      <c r="B13" s="11"/>
      <c r="C13" s="28" t="s">
        <v>430</v>
      </c>
      <c r="D13" s="4">
        <v>2.8</v>
      </c>
      <c r="E13" s="4">
        <v>7.45</v>
      </c>
      <c r="F13" s="4">
        <v>0</v>
      </c>
      <c r="G13" s="4">
        <v>0</v>
      </c>
      <c r="H13" s="4">
        <v>0</v>
      </c>
    </row>
    <row r="14" spans="1:8" ht="18" customHeight="1">
      <c r="A14" s="11"/>
      <c r="B14" s="11"/>
      <c r="C14" s="28" t="s">
        <v>431</v>
      </c>
      <c r="D14" s="4">
        <v>9.1199999999999992</v>
      </c>
      <c r="E14" s="4">
        <v>-0.55000000000000004</v>
      </c>
      <c r="F14" s="4">
        <v>5.23</v>
      </c>
      <c r="G14" s="4">
        <v>1.35</v>
      </c>
      <c r="H14" s="4">
        <v>4.67</v>
      </c>
    </row>
    <row r="15" spans="1:8" ht="18" customHeight="1">
      <c r="A15" s="11"/>
      <c r="B15" s="11"/>
      <c r="C15" s="28" t="s">
        <v>432</v>
      </c>
      <c r="D15" s="4">
        <v>-11.93</v>
      </c>
      <c r="E15" s="4">
        <v>-18.89</v>
      </c>
      <c r="F15" s="4">
        <v>-91.2</v>
      </c>
      <c r="G15" s="4">
        <v>-219.85</v>
      </c>
      <c r="H15" s="4">
        <v>-233.14</v>
      </c>
    </row>
    <row r="16" spans="1:8" ht="18" customHeight="1">
      <c r="A16" s="11"/>
      <c r="B16" s="11"/>
      <c r="C16" s="28" t="s">
        <v>433</v>
      </c>
      <c r="D16" s="4">
        <v>16.73</v>
      </c>
      <c r="E16" s="4">
        <v>6.91</v>
      </c>
      <c r="F16" s="4">
        <v>2.95</v>
      </c>
      <c r="G16" s="4">
        <v>21.42</v>
      </c>
      <c r="H16" s="4">
        <v>20.56</v>
      </c>
    </row>
    <row r="17" spans="1:8" ht="18" customHeight="1">
      <c r="A17" s="11"/>
      <c r="B17" s="11"/>
      <c r="C17" s="28" t="s">
        <v>434</v>
      </c>
      <c r="D17" s="4">
        <v>0</v>
      </c>
      <c r="E17" s="4">
        <v>0</v>
      </c>
      <c r="F17" s="4">
        <v>0</v>
      </c>
      <c r="G17" s="4">
        <v>0</v>
      </c>
      <c r="H17" s="4">
        <v>-5.12</v>
      </c>
    </row>
    <row r="18" spans="1:8" ht="18" customHeight="1">
      <c r="A18" s="11"/>
      <c r="B18" s="11"/>
      <c r="C18" s="28" t="s">
        <v>435</v>
      </c>
      <c r="D18" s="4">
        <v>0</v>
      </c>
      <c r="E18" s="4">
        <v>0</v>
      </c>
      <c r="F18" s="4">
        <v>0</v>
      </c>
      <c r="G18" s="4">
        <v>8.2799999999999994</v>
      </c>
      <c r="H18" s="4">
        <v>24.79</v>
      </c>
    </row>
    <row r="19" spans="1:8" ht="18" customHeight="1">
      <c r="A19" s="11"/>
      <c r="B19" s="11"/>
      <c r="C19" s="28" t="s">
        <v>355</v>
      </c>
      <c r="D19" s="4">
        <v>239.61</v>
      </c>
      <c r="E19" s="4">
        <v>269.74</v>
      </c>
      <c r="F19" s="4">
        <v>340.66</v>
      </c>
      <c r="G19" s="4">
        <v>358.48</v>
      </c>
      <c r="H19" s="4">
        <v>394.71</v>
      </c>
    </row>
    <row r="20" spans="1:8" ht="18" customHeight="1">
      <c r="A20" s="11"/>
      <c r="B20" s="11"/>
      <c r="C20" s="28" t="s">
        <v>436</v>
      </c>
      <c r="D20" s="4">
        <v>-13.56</v>
      </c>
      <c r="E20" s="4">
        <v>10.92</v>
      </c>
      <c r="F20" s="4">
        <v>-58.06</v>
      </c>
      <c r="G20" s="4">
        <v>-0.3</v>
      </c>
      <c r="H20" s="4">
        <v>1.99</v>
      </c>
    </row>
    <row r="21" spans="1:8" ht="18" customHeight="1">
      <c r="A21" s="11"/>
      <c r="B21" s="11"/>
      <c r="C21" s="28" t="s">
        <v>437</v>
      </c>
      <c r="D21" s="4">
        <v>16</v>
      </c>
      <c r="E21" s="4">
        <v>13.8</v>
      </c>
      <c r="F21" s="4">
        <v>47.24</v>
      </c>
      <c r="G21" s="4">
        <v>12.83</v>
      </c>
      <c r="H21" s="4">
        <v>-8.17</v>
      </c>
    </row>
    <row r="22" spans="1:8" ht="18" customHeight="1">
      <c r="A22" s="11"/>
      <c r="B22" s="11"/>
      <c r="C22" s="28" t="s">
        <v>438</v>
      </c>
      <c r="D22" s="4">
        <v>2.7</v>
      </c>
      <c r="E22" s="4">
        <v>-11.16</v>
      </c>
      <c r="F22" s="4">
        <v>0.11</v>
      </c>
      <c r="G22" s="4">
        <v>0.39</v>
      </c>
      <c r="H22" s="4">
        <v>0.21</v>
      </c>
    </row>
    <row r="23" spans="1:8" ht="18" customHeight="1">
      <c r="A23" s="11"/>
      <c r="B23" s="11"/>
      <c r="C23" s="28" t="s">
        <v>361</v>
      </c>
      <c r="D23" s="4">
        <v>0</v>
      </c>
      <c r="E23" s="4">
        <v>0</v>
      </c>
      <c r="F23" s="4">
        <v>71.67</v>
      </c>
      <c r="G23" s="4">
        <v>24.92</v>
      </c>
      <c r="H23" s="4">
        <v>13.71</v>
      </c>
    </row>
    <row r="24" spans="1:8" ht="18" customHeight="1">
      <c r="A24" s="11"/>
      <c r="B24" s="11"/>
      <c r="C24" s="28" t="s">
        <v>439</v>
      </c>
      <c r="D24" s="4">
        <v>0</v>
      </c>
      <c r="E24" s="4">
        <v>0</v>
      </c>
      <c r="F24" s="4">
        <v>48.02</v>
      </c>
      <c r="G24" s="4">
        <v>62.82</v>
      </c>
      <c r="H24" s="4">
        <v>37.99</v>
      </c>
    </row>
    <row r="25" spans="1:8" ht="18" customHeight="1">
      <c r="A25" s="11"/>
      <c r="B25" s="11"/>
      <c r="C25" s="28" t="s">
        <v>440</v>
      </c>
      <c r="D25" s="4">
        <v>28.09</v>
      </c>
      <c r="E25" s="4">
        <v>14.13</v>
      </c>
      <c r="F25" s="4">
        <v>9.07</v>
      </c>
      <c r="G25" s="4">
        <v>88.91</v>
      </c>
      <c r="H25" s="4">
        <v>130.69</v>
      </c>
    </row>
    <row r="26" spans="1:8" ht="18" customHeight="1">
      <c r="A26" s="11"/>
      <c r="B26" s="11"/>
      <c r="C26" s="34" t="s">
        <v>441</v>
      </c>
      <c r="D26" s="5">
        <f>SUM(D7,D9:D25)</f>
        <v>1927.7399999999998</v>
      </c>
      <c r="E26" s="5">
        <f>SUM(E7,E9:E25)</f>
        <v>2047.75</v>
      </c>
      <c r="F26" s="5">
        <f>SUM(F7,F9:F25)</f>
        <v>2797.8500000000004</v>
      </c>
      <c r="G26" s="5">
        <f>SUM(G7,G9:G25)</f>
        <v>3220.13</v>
      </c>
      <c r="H26" s="5">
        <f>SUM(H7,H9:H25)</f>
        <v>3741.5399999999995</v>
      </c>
    </row>
    <row r="27" spans="1:8" ht="18" customHeight="1">
      <c r="A27" s="11"/>
      <c r="B27" s="11"/>
      <c r="C27" s="36" t="s">
        <v>442</v>
      </c>
      <c r="D27" s="7"/>
      <c r="E27" s="7"/>
      <c r="F27" s="7"/>
      <c r="G27" s="7"/>
      <c r="H27" s="68"/>
    </row>
    <row r="28" spans="1:8" ht="18" customHeight="1">
      <c r="A28" s="11"/>
      <c r="B28" s="11"/>
      <c r="C28" s="28" t="s">
        <v>113</v>
      </c>
      <c r="D28" s="4">
        <v>-122.71</v>
      </c>
      <c r="E28" s="4">
        <v>-83.75</v>
      </c>
      <c r="F28" s="4">
        <v>-143.88999999999999</v>
      </c>
      <c r="G28" s="4">
        <v>-156.33000000000001</v>
      </c>
      <c r="H28" s="4">
        <v>-367.54</v>
      </c>
    </row>
    <row r="29" spans="1:8" ht="18" customHeight="1">
      <c r="A29" s="11"/>
      <c r="B29" s="11"/>
      <c r="C29" s="28" t="s">
        <v>114</v>
      </c>
      <c r="D29" s="4">
        <v>-460.18</v>
      </c>
      <c r="E29" s="4">
        <v>-143.15</v>
      </c>
      <c r="F29" s="4">
        <v>388.75</v>
      </c>
      <c r="G29" s="4">
        <v>-277.91000000000003</v>
      </c>
      <c r="H29" s="4">
        <v>-60.61</v>
      </c>
    </row>
    <row r="30" spans="1:8" ht="18" customHeight="1">
      <c r="A30" s="11"/>
      <c r="B30" s="11"/>
      <c r="C30" s="28" t="s">
        <v>384</v>
      </c>
      <c r="D30" s="4">
        <v>-0.2</v>
      </c>
      <c r="E30" s="4">
        <v>-1.1499999999999999</v>
      </c>
      <c r="F30" s="4">
        <v>-1.43</v>
      </c>
      <c r="G30" s="4">
        <v>-0.24</v>
      </c>
      <c r="H30" s="4">
        <v>-0.45</v>
      </c>
    </row>
    <row r="31" spans="1:8" ht="18" customHeight="1">
      <c r="A31" s="11"/>
      <c r="B31" s="11"/>
      <c r="C31" s="28" t="s">
        <v>393</v>
      </c>
      <c r="D31" s="4">
        <v>-0.33</v>
      </c>
      <c r="E31" s="4">
        <v>-10.1</v>
      </c>
      <c r="F31" s="4">
        <v>-8</v>
      </c>
      <c r="G31" s="4">
        <v>-8.82</v>
      </c>
      <c r="H31" s="4">
        <v>0.4</v>
      </c>
    </row>
    <row r="32" spans="1:8" ht="18" customHeight="1">
      <c r="A32" s="11"/>
      <c r="B32" s="11"/>
      <c r="C32" s="28" t="s">
        <v>385</v>
      </c>
      <c r="D32" s="4">
        <v>-10.63</v>
      </c>
      <c r="E32" s="4">
        <v>-12.93</v>
      </c>
      <c r="F32" s="4">
        <v>-10.74</v>
      </c>
      <c r="G32" s="4">
        <v>7.81</v>
      </c>
      <c r="H32" s="4">
        <v>16.34</v>
      </c>
    </row>
    <row r="33" spans="1:8" ht="18" customHeight="1">
      <c r="A33" s="11"/>
      <c r="B33" s="11"/>
      <c r="C33" s="28" t="s">
        <v>394</v>
      </c>
      <c r="D33" s="4">
        <v>-0.75</v>
      </c>
      <c r="E33" s="4">
        <v>-7.0000000000000007E-2</v>
      </c>
      <c r="F33" s="4">
        <v>6.48</v>
      </c>
      <c r="G33" s="4">
        <v>-9.74</v>
      </c>
      <c r="H33" s="4">
        <v>-3.21</v>
      </c>
    </row>
    <row r="34" spans="1:8" ht="18" customHeight="1">
      <c r="A34" s="11"/>
      <c r="B34" s="11"/>
      <c r="C34" s="28" t="s">
        <v>443</v>
      </c>
      <c r="D34" s="4">
        <v>6.89</v>
      </c>
      <c r="E34" s="4">
        <v>-21.71</v>
      </c>
      <c r="F34" s="4">
        <v>-0.9</v>
      </c>
      <c r="G34" s="4">
        <v>-6.4</v>
      </c>
      <c r="H34" s="4">
        <v>-25.87</v>
      </c>
    </row>
    <row r="35" spans="1:8" ht="18" customHeight="1">
      <c r="A35" s="11"/>
      <c r="B35" s="11"/>
      <c r="C35" s="28" t="s">
        <v>444</v>
      </c>
      <c r="D35" s="4">
        <v>-28.11</v>
      </c>
      <c r="E35" s="4">
        <v>17.95</v>
      </c>
      <c r="F35" s="4">
        <v>-33.07</v>
      </c>
      <c r="G35" s="4">
        <v>-114.35</v>
      </c>
      <c r="H35" s="4">
        <v>76.56</v>
      </c>
    </row>
    <row r="36" spans="1:8" ht="18" customHeight="1">
      <c r="A36" s="11"/>
      <c r="B36" s="11"/>
      <c r="C36" s="28" t="s">
        <v>115</v>
      </c>
      <c r="D36" s="4">
        <v>75.959999999999994</v>
      </c>
      <c r="E36" s="4">
        <v>31.57</v>
      </c>
      <c r="F36" s="4">
        <v>103.01</v>
      </c>
      <c r="G36" s="4">
        <v>238.94</v>
      </c>
      <c r="H36" s="4">
        <v>130.63</v>
      </c>
    </row>
    <row r="37" spans="1:8" ht="18" customHeight="1">
      <c r="A37" s="11"/>
      <c r="B37" s="11"/>
      <c r="C37" s="28" t="s">
        <v>445</v>
      </c>
      <c r="D37" s="4">
        <v>17.190000000000001</v>
      </c>
      <c r="E37" s="4">
        <v>156.01</v>
      </c>
      <c r="F37" s="4">
        <v>260.68</v>
      </c>
      <c r="G37" s="4">
        <v>149.46</v>
      </c>
      <c r="H37" s="4">
        <v>187.85</v>
      </c>
    </row>
    <row r="38" spans="1:8" ht="18" customHeight="1">
      <c r="A38" s="11"/>
      <c r="B38" s="11"/>
      <c r="C38" s="28" t="s">
        <v>446</v>
      </c>
      <c r="D38" s="4">
        <v>6.31</v>
      </c>
      <c r="E38" s="4">
        <v>-5.49</v>
      </c>
      <c r="F38" s="4">
        <v>0</v>
      </c>
      <c r="G38" s="4">
        <v>0</v>
      </c>
      <c r="H38" s="4">
        <v>0</v>
      </c>
    </row>
    <row r="39" spans="1:8" ht="18" customHeight="1">
      <c r="A39" s="11"/>
      <c r="B39" s="11"/>
      <c r="C39" s="28" t="s">
        <v>447</v>
      </c>
      <c r="D39" s="4">
        <v>6.19</v>
      </c>
      <c r="E39" s="4">
        <v>-5.73</v>
      </c>
      <c r="F39" s="4">
        <v>13.37</v>
      </c>
      <c r="G39" s="4">
        <v>-23.2</v>
      </c>
      <c r="H39" s="4">
        <v>-5.0599999999999996</v>
      </c>
    </row>
    <row r="40" spans="1:8" ht="18" customHeight="1">
      <c r="A40" s="11"/>
      <c r="B40" s="11"/>
      <c r="C40" s="34" t="s">
        <v>448</v>
      </c>
      <c r="D40" s="5">
        <f>D26+SUM(D28:D39)</f>
        <v>1417.3699999999997</v>
      </c>
      <c r="E40" s="5">
        <f>E26+SUM(E28:E39)</f>
        <v>1969.2</v>
      </c>
      <c r="F40" s="5">
        <f>F26+SUM(F28:F39)</f>
        <v>3372.1100000000006</v>
      </c>
      <c r="G40" s="5">
        <f>G26+SUM(G28:G39)</f>
        <v>3019.35</v>
      </c>
      <c r="H40" s="5">
        <f>H26+SUM(H28:H39)</f>
        <v>3690.5799999999995</v>
      </c>
    </row>
    <row r="41" spans="1:8" ht="30" customHeight="1">
      <c r="A41" s="11"/>
      <c r="B41" s="11"/>
      <c r="C41" s="62" t="s">
        <v>449</v>
      </c>
      <c r="D41" s="4">
        <v>-462</v>
      </c>
      <c r="E41" s="4">
        <v>-411.63</v>
      </c>
      <c r="F41" s="4">
        <v>-648.09</v>
      </c>
      <c r="G41" s="4">
        <v>-732.72</v>
      </c>
      <c r="H41" s="4">
        <v>-862.13</v>
      </c>
    </row>
    <row r="42" spans="1:8" ht="18" customHeight="1">
      <c r="A42" s="11"/>
      <c r="B42" s="11"/>
      <c r="C42" s="23" t="s">
        <v>450</v>
      </c>
      <c r="D42" s="6">
        <f>D40+D41</f>
        <v>955.36999999999966</v>
      </c>
      <c r="E42" s="6">
        <f>E40+E41</f>
        <v>1557.5700000000002</v>
      </c>
      <c r="F42" s="6">
        <f>F40+F41</f>
        <v>2724.0200000000004</v>
      </c>
      <c r="G42" s="6">
        <f>G40+G41</f>
        <v>2286.63</v>
      </c>
      <c r="H42" s="6">
        <f>H40+H41</f>
        <v>2828.4499999999994</v>
      </c>
    </row>
    <row r="43" spans="1:8" ht="18" customHeight="1">
      <c r="A43" s="11"/>
      <c r="B43" s="11"/>
      <c r="C43" s="11"/>
      <c r="D43" s="4"/>
      <c r="E43" s="4"/>
      <c r="F43" s="4"/>
      <c r="G43" s="4"/>
      <c r="H43" s="4"/>
    </row>
    <row r="44" spans="1:8" ht="18" customHeight="1">
      <c r="A44" s="11"/>
      <c r="B44" s="11"/>
      <c r="C44" s="15" t="s">
        <v>451</v>
      </c>
      <c r="D44" s="56"/>
      <c r="E44" s="56"/>
      <c r="F44" s="56"/>
      <c r="G44" s="56"/>
      <c r="H44" s="57"/>
    </row>
    <row r="45" spans="1:8" ht="30" customHeight="1">
      <c r="A45" s="11"/>
      <c r="B45" s="11"/>
      <c r="C45" s="62" t="s">
        <v>452</v>
      </c>
      <c r="D45" s="4">
        <v>-374.74</v>
      </c>
      <c r="E45" s="4">
        <v>-505.35</v>
      </c>
      <c r="F45" s="4">
        <v>-558.71</v>
      </c>
      <c r="G45" s="4">
        <v>-452.34</v>
      </c>
      <c r="H45" s="4">
        <v>-592.77</v>
      </c>
    </row>
    <row r="46" spans="1:8" ht="18" customHeight="1">
      <c r="A46" s="11"/>
      <c r="B46" s="11"/>
      <c r="C46" s="28" t="s">
        <v>453</v>
      </c>
      <c r="D46" s="4">
        <v>0.77</v>
      </c>
      <c r="E46" s="4">
        <v>7.63</v>
      </c>
      <c r="F46" s="4">
        <v>5.76</v>
      </c>
      <c r="G46" s="4">
        <v>4.2699999999999996</v>
      </c>
      <c r="H46" s="4">
        <v>3.59</v>
      </c>
    </row>
    <row r="47" spans="1:8" ht="18" customHeight="1">
      <c r="A47" s="11"/>
      <c r="B47" s="11"/>
      <c r="C47" s="28" t="s">
        <v>454</v>
      </c>
      <c r="D47" s="4">
        <v>0</v>
      </c>
      <c r="E47" s="4">
        <v>0</v>
      </c>
      <c r="F47" s="4">
        <v>19.88</v>
      </c>
      <c r="G47" s="4">
        <v>-13</v>
      </c>
      <c r="H47" s="4">
        <v>-45.19</v>
      </c>
    </row>
    <row r="48" spans="1:8" ht="18" customHeight="1">
      <c r="A48" s="11"/>
      <c r="B48" s="11"/>
      <c r="C48" s="28" t="s">
        <v>455</v>
      </c>
      <c r="D48" s="4">
        <v>-262.20999999999998</v>
      </c>
      <c r="E48" s="4">
        <v>0</v>
      </c>
      <c r="F48" s="4">
        <v>0</v>
      </c>
      <c r="G48" s="4">
        <v>-9.9</v>
      </c>
      <c r="H48" s="4">
        <v>0</v>
      </c>
    </row>
    <row r="49" spans="1:8" ht="18" customHeight="1">
      <c r="A49" s="11"/>
      <c r="B49" s="11"/>
      <c r="C49" s="28" t="s">
        <v>456</v>
      </c>
      <c r="D49" s="4">
        <v>0</v>
      </c>
      <c r="E49" s="4">
        <v>0</v>
      </c>
      <c r="F49" s="4">
        <v>47.2</v>
      </c>
      <c r="G49" s="4">
        <v>0</v>
      </c>
      <c r="H49" s="4">
        <v>0</v>
      </c>
    </row>
    <row r="50" spans="1:8" ht="18" customHeight="1">
      <c r="A50" s="11"/>
      <c r="B50" s="11"/>
      <c r="C50" s="28" t="s">
        <v>457</v>
      </c>
      <c r="D50" s="4">
        <v>-100.95</v>
      </c>
      <c r="E50" s="4">
        <v>-1851.16</v>
      </c>
      <c r="F50" s="4">
        <v>-2708.26</v>
      </c>
      <c r="G50" s="4">
        <v>-4498.92</v>
      </c>
      <c r="H50" s="4">
        <v>-6386.3</v>
      </c>
    </row>
    <row r="51" spans="1:8" ht="18" customHeight="1">
      <c r="A51" s="11"/>
      <c r="B51" s="11"/>
      <c r="C51" s="28" t="s">
        <v>458</v>
      </c>
      <c r="D51" s="4">
        <v>170.24</v>
      </c>
      <c r="E51" s="4">
        <v>1447.81</v>
      </c>
      <c r="F51" s="4">
        <v>1421.34</v>
      </c>
      <c r="G51" s="4">
        <v>3418.55</v>
      </c>
      <c r="H51" s="4">
        <v>5831.38</v>
      </c>
    </row>
    <row r="52" spans="1:8" ht="18" customHeight="1">
      <c r="A52" s="11"/>
      <c r="B52" s="11"/>
      <c r="C52" s="28" t="s">
        <v>459</v>
      </c>
      <c r="D52" s="4">
        <v>3.07</v>
      </c>
      <c r="E52" s="4">
        <v>-4.1399999999999997</v>
      </c>
      <c r="F52" s="4">
        <v>-1.76</v>
      </c>
      <c r="G52" s="4">
        <v>3.35</v>
      </c>
      <c r="H52" s="4">
        <v>-53.5</v>
      </c>
    </row>
    <row r="53" spans="1:8" ht="18" customHeight="1">
      <c r="A53" s="11"/>
      <c r="B53" s="11"/>
      <c r="C53" s="28" t="s">
        <v>460</v>
      </c>
      <c r="D53" s="4">
        <v>-0.12</v>
      </c>
      <c r="E53" s="4">
        <v>0.05</v>
      </c>
      <c r="F53" s="4">
        <v>0.36</v>
      </c>
      <c r="G53" s="4">
        <v>-1.39</v>
      </c>
      <c r="H53" s="4">
        <v>0.97</v>
      </c>
    </row>
    <row r="54" spans="1:8" ht="18" customHeight="1">
      <c r="A54" s="11"/>
      <c r="B54" s="11"/>
      <c r="C54" s="28" t="s">
        <v>461</v>
      </c>
      <c r="D54" s="4">
        <v>4.58</v>
      </c>
      <c r="E54" s="4">
        <v>5</v>
      </c>
      <c r="F54" s="4">
        <v>12.07</v>
      </c>
      <c r="G54" s="4">
        <v>15.45</v>
      </c>
      <c r="H54" s="4">
        <v>18.11</v>
      </c>
    </row>
    <row r="55" spans="1:8" ht="18" customHeight="1">
      <c r="A55" s="11"/>
      <c r="B55" s="11"/>
      <c r="C55" s="28" t="s">
        <v>462</v>
      </c>
      <c r="D55" s="4">
        <v>0</v>
      </c>
      <c r="E55" s="4">
        <v>0</v>
      </c>
      <c r="F55" s="4">
        <v>-7.5</v>
      </c>
      <c r="G55" s="4">
        <v>-7.66</v>
      </c>
      <c r="H55" s="4">
        <v>-5.6</v>
      </c>
    </row>
    <row r="56" spans="1:8" ht="18" customHeight="1">
      <c r="A56" s="11"/>
      <c r="B56" s="11"/>
      <c r="C56" s="28" t="s">
        <v>463</v>
      </c>
      <c r="D56" s="4">
        <v>1.22</v>
      </c>
      <c r="E56" s="4">
        <v>1.21</v>
      </c>
      <c r="F56" s="4">
        <v>0.33</v>
      </c>
      <c r="G56" s="4">
        <v>0</v>
      </c>
      <c r="H56" s="4">
        <v>5.21</v>
      </c>
    </row>
    <row r="57" spans="1:8" ht="18" customHeight="1">
      <c r="A57" s="11"/>
      <c r="B57" s="11"/>
      <c r="C57" s="23" t="s">
        <v>464</v>
      </c>
      <c r="D57" s="6">
        <f>SUM(D45:D56)</f>
        <v>-558.14</v>
      </c>
      <c r="E57" s="6">
        <f>SUM(E45:E56)</f>
        <v>-898.95000000000016</v>
      </c>
      <c r="F57" s="6">
        <f>SUM(F45:F56)</f>
        <v>-1769.2900000000004</v>
      </c>
      <c r="G57" s="6">
        <f>SUM(G45:G56)</f>
        <v>-1541.5900000000004</v>
      </c>
      <c r="H57" s="6">
        <f>SUM(H45:H56)</f>
        <v>-1224.0999999999999</v>
      </c>
    </row>
    <row r="58" spans="1:8" ht="18" customHeight="1">
      <c r="A58" s="11"/>
      <c r="B58" s="11"/>
      <c r="C58" s="11"/>
      <c r="D58" s="4"/>
      <c r="E58" s="4"/>
      <c r="F58" s="4"/>
      <c r="G58" s="4"/>
      <c r="H58" s="4"/>
    </row>
    <row r="59" spans="1:8" ht="18" customHeight="1">
      <c r="A59" s="11"/>
      <c r="B59" s="11"/>
      <c r="C59" s="15" t="s">
        <v>465</v>
      </c>
      <c r="D59" s="56"/>
      <c r="E59" s="56"/>
      <c r="F59" s="56"/>
      <c r="G59" s="56"/>
      <c r="H59" s="57"/>
    </row>
    <row r="60" spans="1:8" ht="18" customHeight="1">
      <c r="A60" s="11"/>
      <c r="B60" s="11"/>
      <c r="C60" s="28" t="s">
        <v>466</v>
      </c>
      <c r="D60" s="4">
        <v>0.01</v>
      </c>
      <c r="E60" s="4">
        <v>0</v>
      </c>
      <c r="F60" s="4">
        <v>0.03</v>
      </c>
      <c r="G60" s="4">
        <v>1.59</v>
      </c>
      <c r="H60" s="4">
        <v>0.71</v>
      </c>
    </row>
    <row r="61" spans="1:8" ht="18" customHeight="1">
      <c r="A61" s="11"/>
      <c r="B61" s="11"/>
      <c r="C61" s="28" t="s">
        <v>467</v>
      </c>
      <c r="D61" s="4">
        <v>0</v>
      </c>
      <c r="E61" s="4">
        <v>0</v>
      </c>
      <c r="F61" s="4">
        <v>0</v>
      </c>
      <c r="G61" s="4">
        <v>0</v>
      </c>
      <c r="H61" s="4">
        <v>-0.62</v>
      </c>
    </row>
    <row r="62" spans="1:8" ht="18" customHeight="1">
      <c r="A62" s="11"/>
      <c r="B62" s="11"/>
      <c r="C62" s="28" t="s">
        <v>468</v>
      </c>
      <c r="D62" s="4">
        <v>-48.68</v>
      </c>
      <c r="E62" s="4">
        <v>-36.07</v>
      </c>
      <c r="F62" s="4">
        <v>-81.89</v>
      </c>
      <c r="G62" s="4">
        <v>-79.94</v>
      </c>
      <c r="H62" s="4">
        <v>-65.19</v>
      </c>
    </row>
    <row r="63" spans="1:8" ht="18" customHeight="1">
      <c r="A63" s="11"/>
      <c r="B63" s="11"/>
      <c r="C63" s="28" t="s">
        <v>469</v>
      </c>
      <c r="D63" s="4">
        <v>0</v>
      </c>
      <c r="E63" s="4">
        <v>-13.1</v>
      </c>
      <c r="F63" s="4">
        <v>-17.54</v>
      </c>
      <c r="G63" s="4">
        <v>-21.02</v>
      </c>
      <c r="H63" s="4">
        <v>-25.54</v>
      </c>
    </row>
    <row r="64" spans="1:8" ht="18" customHeight="1">
      <c r="A64" s="11"/>
      <c r="B64" s="11"/>
      <c r="C64" s="28" t="s">
        <v>470</v>
      </c>
      <c r="D64" s="4">
        <v>102.71</v>
      </c>
      <c r="E64" s="4">
        <v>-77.56</v>
      </c>
      <c r="F64" s="4">
        <v>-12.95</v>
      </c>
      <c r="G64" s="4">
        <v>34.96</v>
      </c>
      <c r="H64" s="4">
        <v>-18.239999999999998</v>
      </c>
    </row>
    <row r="65" spans="1:8" ht="18" customHeight="1">
      <c r="A65" s="11"/>
      <c r="B65" s="11"/>
      <c r="C65" s="28" t="s">
        <v>471</v>
      </c>
      <c r="D65" s="4">
        <v>-18.13</v>
      </c>
      <c r="E65" s="4">
        <v>-2.97</v>
      </c>
      <c r="F65" s="4">
        <v>0</v>
      </c>
      <c r="G65" s="4">
        <v>0</v>
      </c>
      <c r="H65" s="4">
        <v>0</v>
      </c>
    </row>
    <row r="66" spans="1:8" ht="18" customHeight="1">
      <c r="A66" s="11"/>
      <c r="B66" s="11"/>
      <c r="C66" s="28" t="s">
        <v>472</v>
      </c>
      <c r="D66" s="4">
        <v>-38.86</v>
      </c>
      <c r="E66" s="4">
        <v>16.14</v>
      </c>
      <c r="F66" s="4">
        <v>-50.91</v>
      </c>
      <c r="G66" s="4">
        <v>-27.04</v>
      </c>
      <c r="H66" s="4">
        <v>-9.1999999999999993</v>
      </c>
    </row>
    <row r="67" spans="1:8" ht="18" customHeight="1">
      <c r="A67" s="11"/>
      <c r="B67" s="11"/>
      <c r="C67" s="28" t="s">
        <v>473</v>
      </c>
      <c r="D67" s="4">
        <v>-431.85</v>
      </c>
      <c r="E67" s="4">
        <v>-508.33</v>
      </c>
      <c r="F67" s="4">
        <v>-559.74</v>
      </c>
      <c r="G67" s="4">
        <v>-813.38</v>
      </c>
      <c r="H67" s="4">
        <v>-1017.64</v>
      </c>
    </row>
    <row r="68" spans="1:8" ht="18" customHeight="1">
      <c r="A68" s="11"/>
      <c r="B68" s="11"/>
      <c r="C68" s="28" t="s">
        <v>474</v>
      </c>
      <c r="D68" s="4">
        <v>0</v>
      </c>
      <c r="E68" s="4">
        <v>0</v>
      </c>
      <c r="F68" s="4">
        <v>0</v>
      </c>
      <c r="G68" s="4">
        <v>0</v>
      </c>
      <c r="H68" s="4">
        <v>-508.37</v>
      </c>
    </row>
    <row r="69" spans="1:8" ht="18" customHeight="1">
      <c r="A69" s="11"/>
      <c r="B69" s="11"/>
      <c r="C69" s="28" t="s">
        <v>475</v>
      </c>
      <c r="D69" s="4">
        <v>-33.159999999999997</v>
      </c>
      <c r="E69" s="4">
        <v>-34.54</v>
      </c>
      <c r="F69" s="4">
        <v>-19.45</v>
      </c>
      <c r="G69" s="4">
        <v>-13.11</v>
      </c>
      <c r="H69" s="4">
        <v>-28.68</v>
      </c>
    </row>
    <row r="70" spans="1:8" ht="18" customHeight="1">
      <c r="A70" s="11"/>
      <c r="B70" s="11"/>
      <c r="C70" s="23" t="s">
        <v>476</v>
      </c>
      <c r="D70" s="6">
        <f>SUM(D60:D69)</f>
        <v>-467.96000000000004</v>
      </c>
      <c r="E70" s="6">
        <f>SUM(E60:E69)</f>
        <v>-656.43</v>
      </c>
      <c r="F70" s="6">
        <f>SUM(F60:F69)</f>
        <v>-742.45</v>
      </c>
      <c r="G70" s="6">
        <f>SUM(G60:G69)</f>
        <v>-917.93999999999994</v>
      </c>
      <c r="H70" s="6">
        <f>SUM(H60:H69)</f>
        <v>-1672.7700000000002</v>
      </c>
    </row>
    <row r="71" spans="1:8" ht="18" customHeight="1">
      <c r="A71" s="11"/>
      <c r="B71" s="11"/>
      <c r="C71" s="11"/>
      <c r="D71" s="4"/>
      <c r="E71" s="4"/>
      <c r="F71" s="4"/>
      <c r="G71" s="4"/>
      <c r="H71" s="4"/>
    </row>
    <row r="72" spans="1:8" ht="18" customHeight="1">
      <c r="A72" s="11"/>
      <c r="B72" s="11"/>
      <c r="C72" s="15" t="s">
        <v>477</v>
      </c>
      <c r="D72" s="56"/>
      <c r="E72" s="56"/>
      <c r="F72" s="56"/>
      <c r="G72" s="56"/>
      <c r="H72" s="57"/>
    </row>
    <row r="73" spans="1:8" ht="18" customHeight="1">
      <c r="A73" s="11"/>
      <c r="B73" s="11"/>
      <c r="C73" s="23" t="s">
        <v>478</v>
      </c>
      <c r="D73" s="6">
        <f>SUM(D42,D57,D70)</f>
        <v>-70.730000000000359</v>
      </c>
      <c r="E73" s="6">
        <f>SUM(E42,E57,E70)</f>
        <v>2.1900000000000546</v>
      </c>
      <c r="F73" s="6">
        <f>SUM(F42,F57,F70)</f>
        <v>212.27999999999997</v>
      </c>
      <c r="G73" s="6">
        <f>SUM(G42,G57,G70)</f>
        <v>-172.9000000000002</v>
      </c>
      <c r="H73" s="6">
        <f>SUM(H42,H57,H70)</f>
        <v>-68.420000000000755</v>
      </c>
    </row>
    <row r="74" spans="1:8" ht="18" customHeight="1">
      <c r="A74" s="11"/>
      <c r="B74" s="11"/>
      <c r="C74" s="28" t="s">
        <v>479</v>
      </c>
      <c r="D74" s="4">
        <v>327.2</v>
      </c>
      <c r="E74" s="4">
        <v>256.47000000000003</v>
      </c>
      <c r="F74" s="4">
        <v>258.11</v>
      </c>
      <c r="G74" s="4">
        <v>458.91</v>
      </c>
      <c r="H74" s="4">
        <v>286.62</v>
      </c>
    </row>
    <row r="75" spans="1:8" ht="18" customHeight="1">
      <c r="A75" s="11"/>
      <c r="B75" s="11"/>
      <c r="C75" s="28" t="s">
        <v>480</v>
      </c>
      <c r="D75" s="4">
        <v>0</v>
      </c>
      <c r="E75" s="4">
        <v>0</v>
      </c>
      <c r="F75" s="4">
        <v>-11.99</v>
      </c>
      <c r="G75" s="4">
        <v>0</v>
      </c>
      <c r="H75" s="4">
        <v>0</v>
      </c>
    </row>
    <row r="76" spans="1:8" ht="18" customHeight="1">
      <c r="A76" s="11"/>
      <c r="B76" s="11"/>
      <c r="C76" s="28" t="s">
        <v>481</v>
      </c>
      <c r="D76" s="4">
        <v>-0.05</v>
      </c>
      <c r="E76" s="4">
        <v>-0.05</v>
      </c>
      <c r="F76" s="4">
        <v>0.5</v>
      </c>
      <c r="G76" s="4">
        <v>0.02</v>
      </c>
      <c r="H76" s="4">
        <v>-0.01</v>
      </c>
    </row>
    <row r="77" spans="1:8" ht="18" customHeight="1">
      <c r="A77" s="11"/>
      <c r="B77" s="11"/>
      <c r="C77" s="28" t="s">
        <v>482</v>
      </c>
      <c r="D77" s="4">
        <v>0</v>
      </c>
      <c r="E77" s="4">
        <v>0</v>
      </c>
      <c r="F77" s="4">
        <v>0</v>
      </c>
      <c r="G77" s="4">
        <v>0.57999999999999996</v>
      </c>
      <c r="H77" s="4">
        <v>0</v>
      </c>
    </row>
    <row r="78" spans="1:8" ht="18" customHeight="1">
      <c r="A78" s="11"/>
      <c r="B78" s="11"/>
      <c r="C78" s="41" t="s">
        <v>483</v>
      </c>
      <c r="D78" s="5">
        <v>327.14999999999998</v>
      </c>
      <c r="E78" s="5">
        <v>256.42</v>
      </c>
      <c r="F78" s="5">
        <v>246.62</v>
      </c>
      <c r="G78" s="5">
        <v>459.51</v>
      </c>
      <c r="H78" s="5">
        <v>286.61</v>
      </c>
    </row>
    <row r="79" spans="1:8" ht="18" customHeight="1">
      <c r="A79" s="11"/>
      <c r="B79" s="11"/>
      <c r="C79" s="28" t="s">
        <v>484</v>
      </c>
      <c r="D79" s="4">
        <v>256.47000000000003</v>
      </c>
      <c r="E79" s="4">
        <v>258.11</v>
      </c>
      <c r="F79" s="4">
        <v>458.89</v>
      </c>
      <c r="G79" s="4">
        <v>286.62</v>
      </c>
      <c r="H79" s="4">
        <v>218.2</v>
      </c>
    </row>
    <row r="80" spans="1:8" ht="18" customHeight="1">
      <c r="A80" s="11"/>
      <c r="B80" s="11"/>
      <c r="C80" s="28" t="s">
        <v>485</v>
      </c>
      <c r="D80" s="4">
        <v>-0.05</v>
      </c>
      <c r="E80" s="4">
        <v>0.5</v>
      </c>
      <c r="F80" s="4">
        <v>0.02</v>
      </c>
      <c r="G80" s="4">
        <v>-0.01</v>
      </c>
      <c r="H80" s="4">
        <v>-0.01</v>
      </c>
    </row>
    <row r="81" spans="1:8" ht="18" customHeight="1">
      <c r="A81" s="11"/>
      <c r="B81" s="11"/>
      <c r="C81" s="43" t="s">
        <v>486</v>
      </c>
      <c r="D81" s="6">
        <v>256.42</v>
      </c>
      <c r="E81" s="6">
        <v>258.61</v>
      </c>
      <c r="F81" s="6">
        <v>458.91</v>
      </c>
      <c r="G81" s="6">
        <v>286.61</v>
      </c>
      <c r="H81" s="6">
        <v>218.19</v>
      </c>
    </row>
    <row r="82" spans="1:8" ht="18" customHeight="1">
      <c r="A82" s="11"/>
      <c r="B82" s="11"/>
      <c r="C82" s="11"/>
      <c r="D82" s="9"/>
      <c r="E82" s="9"/>
      <c r="F82" s="9"/>
      <c r="G82" s="9"/>
      <c r="H82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95959"/>
  </sheetPr>
  <dimension ref="A1:H31"/>
  <sheetViews>
    <sheetView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defaultRowHeight="14"/>
  <cols>
    <col min="1" max="2" width="2.5" customWidth="1"/>
    <col min="3" max="3" width="44" customWidth="1"/>
    <col min="4" max="8" width="13" customWidth="1"/>
  </cols>
  <sheetData>
    <row r="1" spans="1:8" ht="18" customHeight="1">
      <c r="A1" s="11"/>
      <c r="B1" s="11"/>
      <c r="C1" s="11"/>
      <c r="D1" s="11"/>
      <c r="E1" s="11"/>
      <c r="F1" s="11"/>
      <c r="G1" s="11"/>
      <c r="H1" s="11"/>
    </row>
    <row r="2" spans="1:8" ht="18" customHeight="1">
      <c r="A2" s="11"/>
      <c r="B2" s="11"/>
      <c r="C2" s="12" t="s">
        <v>487</v>
      </c>
      <c r="D2" s="12"/>
      <c r="E2" s="12"/>
      <c r="F2" s="12"/>
      <c r="G2" s="12"/>
      <c r="H2" s="12"/>
    </row>
    <row r="3" spans="1:8" ht="18" customHeight="1">
      <c r="A3" s="11"/>
      <c r="B3" s="11"/>
      <c r="C3" s="13" t="s">
        <v>488</v>
      </c>
      <c r="D3" s="13"/>
      <c r="E3" s="13"/>
      <c r="F3" s="13"/>
      <c r="G3" s="13"/>
      <c r="H3" s="13"/>
    </row>
    <row r="4" spans="1:8" ht="18" customHeight="1">
      <c r="A4" s="11"/>
      <c r="B4" s="11"/>
      <c r="C4" s="14"/>
      <c r="D4" s="14"/>
      <c r="E4" s="14"/>
      <c r="F4" s="14"/>
      <c r="G4" s="14"/>
      <c r="H4" s="14"/>
    </row>
    <row r="5" spans="1:8" ht="18" customHeight="1">
      <c r="A5" s="11"/>
      <c r="B5" s="11"/>
      <c r="C5" s="18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2" t="s">
        <v>8</v>
      </c>
    </row>
    <row r="6" spans="1:8" ht="18" customHeight="1">
      <c r="A6" s="11"/>
      <c r="B6" s="11"/>
      <c r="C6" s="15" t="s">
        <v>489</v>
      </c>
      <c r="D6" s="10"/>
      <c r="E6" s="10"/>
      <c r="F6" s="10"/>
      <c r="G6" s="10"/>
      <c r="H6" s="55"/>
    </row>
    <row r="7" spans="1:8" ht="18" customHeight="1">
      <c r="A7" s="11"/>
      <c r="B7" s="11"/>
      <c r="C7" s="28" t="s">
        <v>450</v>
      </c>
      <c r="D7" s="4">
        <f>'Cash Flow'!D42</f>
        <v>955.36999999999966</v>
      </c>
      <c r="E7" s="4">
        <f>'Cash Flow'!E42</f>
        <v>1557.5700000000002</v>
      </c>
      <c r="F7" s="4">
        <f>'Cash Flow'!F42</f>
        <v>2724.0200000000004</v>
      </c>
      <c r="G7" s="4">
        <f>'Cash Flow'!G42</f>
        <v>2286.63</v>
      </c>
      <c r="H7" s="4">
        <f>'Cash Flow'!H42</f>
        <v>2828.4499999999994</v>
      </c>
    </row>
    <row r="8" spans="1:8" ht="18" customHeight="1">
      <c r="A8" s="11"/>
      <c r="B8" s="11"/>
      <c r="C8" s="28" t="s">
        <v>354</v>
      </c>
      <c r="D8" s="4">
        <f>-'P&amp;L'!D16</f>
        <v>42.08</v>
      </c>
      <c r="E8" s="4">
        <f>-'P&amp;L'!E16</f>
        <v>47.64</v>
      </c>
      <c r="F8" s="4">
        <f>-'P&amp;L'!F16</f>
        <v>51.19</v>
      </c>
      <c r="G8" s="4">
        <f>-'P&amp;L'!G16</f>
        <v>50.35</v>
      </c>
      <c r="H8" s="4">
        <f>-'P&amp;L'!H16</f>
        <v>54.22</v>
      </c>
    </row>
    <row r="9" spans="1:8" ht="18" customHeight="1">
      <c r="A9" s="11"/>
      <c r="B9" s="11"/>
      <c r="C9" s="53" t="s">
        <v>16</v>
      </c>
      <c r="D9" s="58">
        <f>'P&amp;L'!D29</f>
        <v>0.25221529576522206</v>
      </c>
      <c r="E9" s="58">
        <f>'P&amp;L'!E29</f>
        <v>0.25206587590817292</v>
      </c>
      <c r="F9" s="58">
        <f>'P&amp;L'!F29</f>
        <v>0.26558934162691494</v>
      </c>
      <c r="G9" s="58">
        <f>'P&amp;L'!G29</f>
        <v>0.25738831615120278</v>
      </c>
      <c r="H9" s="58">
        <f>'P&amp;L'!H29</f>
        <v>0.25584533322088915</v>
      </c>
    </row>
    <row r="10" spans="1:8" ht="18" customHeight="1">
      <c r="A10" s="11"/>
      <c r="B10" s="11"/>
      <c r="C10" s="28" t="s">
        <v>490</v>
      </c>
      <c r="D10" s="4">
        <f>D8*(1-D9)</f>
        <v>31.466780354199454</v>
      </c>
      <c r="E10" s="4">
        <f>E8*(1-E9)</f>
        <v>35.631581671734644</v>
      </c>
      <c r="F10" s="4">
        <f>F8*(1-F9)</f>
        <v>37.594481602118222</v>
      </c>
      <c r="G10" s="4">
        <f>G8*(1-G9)</f>
        <v>37.390498281786947</v>
      </c>
      <c r="H10" s="4">
        <f>H8*(1-H9)</f>
        <v>40.348066032763384</v>
      </c>
    </row>
    <row r="11" spans="1:8" ht="18" customHeight="1">
      <c r="A11" s="11"/>
      <c r="B11" s="11"/>
      <c r="C11" s="28" t="s">
        <v>120</v>
      </c>
      <c r="D11" s="4">
        <f>'Cash Flow'!D45</f>
        <v>-374.74</v>
      </c>
      <c r="E11" s="4">
        <f>'Cash Flow'!E45</f>
        <v>-505.35</v>
      </c>
      <c r="F11" s="4">
        <f>'Cash Flow'!F45</f>
        <v>-558.71</v>
      </c>
      <c r="G11" s="4">
        <f>'Cash Flow'!G45</f>
        <v>-452.34</v>
      </c>
      <c r="H11" s="4">
        <f>'Cash Flow'!H45</f>
        <v>-592.77</v>
      </c>
    </row>
    <row r="12" spans="1:8" ht="18" customHeight="1">
      <c r="A12" s="11"/>
      <c r="B12" s="11"/>
      <c r="C12" s="23" t="s">
        <v>491</v>
      </c>
      <c r="D12" s="6">
        <f>D7+D10+D11</f>
        <v>612.09678035419915</v>
      </c>
      <c r="E12" s="6">
        <f>E7+E10+E11</f>
        <v>1087.8515816717349</v>
      </c>
      <c r="F12" s="6">
        <f>F7+F10+F11</f>
        <v>2202.9044816021187</v>
      </c>
      <c r="G12" s="6">
        <f>G7+G10+G11</f>
        <v>1871.6804982817873</v>
      </c>
      <c r="H12" s="6">
        <f>H7+H10+H11</f>
        <v>2276.0280660327626</v>
      </c>
    </row>
    <row r="13" spans="1:8" ht="18" customHeight="1">
      <c r="A13" s="11"/>
      <c r="B13" s="11"/>
      <c r="C13" s="53" t="s">
        <v>18</v>
      </c>
      <c r="D13" s="58">
        <f>D12/'P&amp;L'!D7</f>
        <v>6.1697333761470581E-2</v>
      </c>
      <c r="E13" s="58">
        <f>E12/'P&amp;L'!E7</f>
        <v>9.2197844045031813E-2</v>
      </c>
      <c r="F13" s="58">
        <f>F12/'P&amp;L'!F7</f>
        <v>0.17789762259374503</v>
      </c>
      <c r="G13" s="58">
        <f>G12/'P&amp;L'!G7</f>
        <v>0.14243807781412976</v>
      </c>
      <c r="H13" s="58">
        <f>H12/'P&amp;L'!H7</f>
        <v>0.15588347142133444</v>
      </c>
    </row>
    <row r="14" spans="1:8" ht="18" customHeight="1">
      <c r="A14" s="11"/>
      <c r="B14" s="11"/>
      <c r="C14" s="11"/>
      <c r="D14" s="4"/>
      <c r="E14" s="4"/>
      <c r="F14" s="4"/>
      <c r="G14" s="4"/>
      <c r="H14" s="4"/>
    </row>
    <row r="15" spans="1:8" ht="18" customHeight="1">
      <c r="A15" s="11"/>
      <c r="B15" s="11"/>
      <c r="C15" s="15" t="s">
        <v>492</v>
      </c>
      <c r="D15" s="56"/>
      <c r="E15" s="56"/>
      <c r="F15" s="56"/>
      <c r="G15" s="56"/>
      <c r="H15" s="57"/>
    </row>
    <row r="16" spans="1:8" ht="18" customHeight="1">
      <c r="A16" s="11"/>
      <c r="B16" s="11"/>
      <c r="C16" s="28" t="s">
        <v>114</v>
      </c>
      <c r="D16" s="4">
        <f>'Balance Sheet'!D22</f>
        <v>1695.09</v>
      </c>
      <c r="E16" s="4">
        <f>'Balance Sheet'!E22</f>
        <v>1817.08</v>
      </c>
      <c r="F16" s="4">
        <f>'Balance Sheet'!F22</f>
        <v>1414.9</v>
      </c>
      <c r="G16" s="4">
        <f>'Balance Sheet'!G22</f>
        <v>1685.09</v>
      </c>
      <c r="H16" s="4">
        <f>'Balance Sheet'!H22</f>
        <v>1737.6</v>
      </c>
    </row>
    <row r="17" spans="1:8" ht="18" customHeight="1">
      <c r="A17" s="11"/>
      <c r="B17" s="11"/>
      <c r="C17" s="28" t="s">
        <v>113</v>
      </c>
      <c r="D17" s="4">
        <f>'Balance Sheet'!D24</f>
        <v>1430.54</v>
      </c>
      <c r="E17" s="4">
        <f>'Balance Sheet'!E24</f>
        <v>1535.27</v>
      </c>
      <c r="F17" s="4">
        <f>'Balance Sheet'!F24</f>
        <v>1674.69</v>
      </c>
      <c r="G17" s="4">
        <f>'Balance Sheet'!G24</f>
        <v>1811.15</v>
      </c>
      <c r="H17" s="4">
        <f>'Balance Sheet'!H24</f>
        <v>2181.1</v>
      </c>
    </row>
    <row r="18" spans="1:8" ht="18" customHeight="1">
      <c r="A18" s="11"/>
      <c r="B18" s="11"/>
      <c r="C18" s="28" t="s">
        <v>115</v>
      </c>
      <c r="D18" s="4">
        <f>'Balance Sheet'!D60</f>
        <v>1049.29</v>
      </c>
      <c r="E18" s="4">
        <f>'Balance Sheet'!E60</f>
        <v>1063.5899999999999</v>
      </c>
      <c r="F18" s="4">
        <f>'Balance Sheet'!F60</f>
        <v>1147.5999999999999</v>
      </c>
      <c r="G18" s="4">
        <f>'Balance Sheet'!G60</f>
        <v>1390.05</v>
      </c>
      <c r="H18" s="4">
        <f>'Balance Sheet'!H60</f>
        <v>1536.6299999999999</v>
      </c>
    </row>
    <row r="19" spans="1:8" ht="18" customHeight="1">
      <c r="A19" s="11"/>
      <c r="B19" s="11"/>
      <c r="C19" s="23" t="s">
        <v>116</v>
      </c>
      <c r="D19" s="6">
        <f>D16+D17-D18</f>
        <v>2076.34</v>
      </c>
      <c r="E19" s="6">
        <f>E16+E17-E18</f>
        <v>2288.7600000000002</v>
      </c>
      <c r="F19" s="6">
        <f>F16+F17-F18</f>
        <v>1941.9900000000002</v>
      </c>
      <c r="G19" s="6">
        <f>G16+G17-G18</f>
        <v>2106.1899999999996</v>
      </c>
      <c r="H19" s="6">
        <f>H16+H17-H18</f>
        <v>2382.0699999999997</v>
      </c>
    </row>
    <row r="20" spans="1:8" ht="18" customHeight="1">
      <c r="A20" s="11"/>
      <c r="B20" s="11"/>
      <c r="C20" s="28" t="s">
        <v>117</v>
      </c>
      <c r="D20" s="4" t="s">
        <v>11</v>
      </c>
      <c r="E20" s="4">
        <f>E19-D19</f>
        <v>212.42000000000007</v>
      </c>
      <c r="F20" s="4">
        <f>F19-E19</f>
        <v>-346.77</v>
      </c>
      <c r="G20" s="4">
        <f>G19-F19</f>
        <v>164.19999999999936</v>
      </c>
      <c r="H20" s="4">
        <f>H19-G19</f>
        <v>275.88000000000011</v>
      </c>
    </row>
    <row r="21" spans="1:8" ht="18" customHeight="1">
      <c r="A21" s="11"/>
      <c r="B21" s="11"/>
      <c r="C21" s="28" t="s">
        <v>9</v>
      </c>
      <c r="D21" s="4">
        <f>'P&amp;L'!D7</f>
        <v>9920.9599999999991</v>
      </c>
      <c r="E21" s="4">
        <f>'P&amp;L'!E7</f>
        <v>11799.1</v>
      </c>
      <c r="F21" s="4">
        <f>'P&amp;L'!F7</f>
        <v>12382.99</v>
      </c>
      <c r="G21" s="4">
        <f>'P&amp;L'!G7</f>
        <v>13140.31</v>
      </c>
      <c r="H21" s="4">
        <f>'P&amp;L'!H7</f>
        <v>14600.83</v>
      </c>
    </row>
    <row r="22" spans="1:8" ht="18" customHeight="1">
      <c r="A22" s="11"/>
      <c r="B22" s="11"/>
      <c r="C22" s="28" t="s">
        <v>112</v>
      </c>
      <c r="D22" s="4">
        <f>-SUM('P&amp;L'!D12:'P&amp;L'!D14)</f>
        <v>5444.1799999999994</v>
      </c>
      <c r="E22" s="4">
        <f>-SUM('P&amp;L'!E12:'P&amp;L'!E14)</f>
        <v>6759.4</v>
      </c>
      <c r="F22" s="4">
        <f>-SUM('P&amp;L'!F12:'P&amp;L'!F14)</f>
        <v>5994.02</v>
      </c>
      <c r="G22" s="4">
        <f>-SUM('P&amp;L'!G12:'P&amp;L'!G14)</f>
        <v>5996.28</v>
      </c>
      <c r="H22" s="4">
        <f>-SUM('P&amp;L'!H12:'P&amp;L'!H14)</f>
        <v>6489.05</v>
      </c>
    </row>
    <row r="23" spans="1:8" ht="18" customHeight="1">
      <c r="A23" s="11"/>
      <c r="B23" s="11"/>
      <c r="C23" s="53" t="s">
        <v>108</v>
      </c>
      <c r="D23" s="69">
        <f>D17/D21*365</f>
        <v>52.630703077121574</v>
      </c>
      <c r="E23" s="69">
        <f>E17/E21*365</f>
        <v>47.492906238611425</v>
      </c>
      <c r="F23" s="69">
        <f>F17/F21*365</f>
        <v>49.363025408241462</v>
      </c>
      <c r="G23" s="69">
        <f>G17/G21*365</f>
        <v>50.308535338968412</v>
      </c>
      <c r="H23" s="69">
        <f>H17/H21*365</f>
        <v>54.524400325186988</v>
      </c>
    </row>
    <row r="24" spans="1:8" ht="18" customHeight="1">
      <c r="A24" s="11"/>
      <c r="B24" s="11"/>
      <c r="C24" s="53" t="s">
        <v>109</v>
      </c>
      <c r="D24" s="69">
        <f>D16/D22*365</f>
        <v>113.64573728274965</v>
      </c>
      <c r="E24" s="69">
        <f>E16/E22*365</f>
        <v>98.12027694765807</v>
      </c>
      <c r="F24" s="69">
        <f>F16/F22*365</f>
        <v>86.158955091908268</v>
      </c>
      <c r="G24" s="69">
        <f>G16/G22*365</f>
        <v>102.57323707365232</v>
      </c>
      <c r="H24" s="69">
        <f>H16/H22*365</f>
        <v>97.737573296553421</v>
      </c>
    </row>
    <row r="25" spans="1:8" ht="18" customHeight="1">
      <c r="A25" s="11"/>
      <c r="B25" s="11"/>
      <c r="C25" s="53" t="s">
        <v>110</v>
      </c>
      <c r="D25" s="69">
        <f>D18/D22*365</f>
        <v>70.348675098912977</v>
      </c>
      <c r="E25" s="69">
        <f>E18/E22*365</f>
        <v>57.432664141787725</v>
      </c>
      <c r="F25" s="69">
        <f>F18/F22*365</f>
        <v>69.881982375767848</v>
      </c>
      <c r="G25" s="69">
        <f>G18/G22*365</f>
        <v>84.613835578058399</v>
      </c>
      <c r="H25" s="69">
        <f>H18/H22*365</f>
        <v>86.433291467934438</v>
      </c>
    </row>
    <row r="26" spans="1:8" ht="18" customHeight="1">
      <c r="A26" s="11"/>
      <c r="B26" s="11"/>
      <c r="C26" s="11"/>
      <c r="D26" s="4"/>
      <c r="E26" s="4"/>
      <c r="F26" s="4"/>
      <c r="G26" s="4"/>
      <c r="H26" s="4"/>
    </row>
    <row r="27" spans="1:8" ht="18" customHeight="1">
      <c r="A27" s="11"/>
      <c r="B27" s="11"/>
      <c r="C27" s="15" t="s">
        <v>493</v>
      </c>
      <c r="D27" s="56"/>
      <c r="E27" s="56"/>
      <c r="F27" s="56"/>
      <c r="G27" s="56"/>
      <c r="H27" s="57"/>
    </row>
    <row r="28" spans="1:8" ht="18" customHeight="1">
      <c r="A28" s="11"/>
      <c r="B28" s="11"/>
      <c r="C28" s="28" t="s">
        <v>421</v>
      </c>
      <c r="D28" s="4">
        <f>'Balance Sheet'!D62</f>
        <v>753.12</v>
      </c>
      <c r="E28" s="4">
        <f>'Balance Sheet'!E62</f>
        <v>1112.48</v>
      </c>
      <c r="F28" s="4">
        <f>'Balance Sheet'!F62</f>
        <v>2663.36</v>
      </c>
      <c r="G28" s="4">
        <f>'Balance Sheet'!G62</f>
        <v>3787.46</v>
      </c>
      <c r="H28" s="4">
        <f>'Balance Sheet'!H62</f>
        <v>4482.29</v>
      </c>
    </row>
    <row r="29" spans="1:8" ht="18" customHeight="1">
      <c r="A29" s="11"/>
      <c r="B29" s="11"/>
      <c r="C29" s="28" t="s">
        <v>185</v>
      </c>
      <c r="D29" s="4">
        <f>'Balance Sheet'!D61</f>
        <v>415.83</v>
      </c>
      <c r="E29" s="4">
        <f>'Balance Sheet'!E61</f>
        <v>390.61</v>
      </c>
      <c r="F29" s="4">
        <f>'Balance Sheet'!F61</f>
        <v>382.47</v>
      </c>
      <c r="G29" s="4">
        <f>'Balance Sheet'!G61</f>
        <v>454.14</v>
      </c>
      <c r="H29" s="4">
        <f>'Balance Sheet'!H61</f>
        <v>417.21000000000004</v>
      </c>
    </row>
    <row r="30" spans="1:8" ht="18" customHeight="1">
      <c r="A30" s="11"/>
      <c r="B30" s="11"/>
      <c r="C30" s="23" t="s">
        <v>422</v>
      </c>
      <c r="D30" s="6">
        <f>'Balance Sheet'!D63</f>
        <v>337.29</v>
      </c>
      <c r="E30" s="6">
        <f>'Balance Sheet'!E63</f>
        <v>721.87</v>
      </c>
      <c r="F30" s="6">
        <f>'Balance Sheet'!F63</f>
        <v>2280.8900000000003</v>
      </c>
      <c r="G30" s="6">
        <f>'Balance Sheet'!G63</f>
        <v>3333.32</v>
      </c>
      <c r="H30" s="6">
        <f>'Balance Sheet'!H63</f>
        <v>4065.08</v>
      </c>
    </row>
    <row r="31" spans="1:8" ht="32" customHeight="1">
      <c r="A31" s="11"/>
      <c r="B31" s="11"/>
      <c r="C31" s="63" t="s">
        <v>494</v>
      </c>
      <c r="D31" s="65"/>
      <c r="E31" s="65"/>
      <c r="F31" s="65"/>
      <c r="G31" s="65"/>
      <c r="H31" s="6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66666"/>
  </sheetPr>
  <dimension ref="A1:K69"/>
  <sheetViews>
    <sheetView workbookViewId="0">
      <pane xSplit="3" ySplit="44" topLeftCell="D45" activePane="bottomRight" state="frozen"/>
      <selection pane="topRight"/>
      <selection pane="bottomLeft"/>
      <selection pane="bottomRight" activeCell="D45" sqref="D45"/>
    </sheetView>
  </sheetViews>
  <sheetFormatPr defaultRowHeight="14"/>
  <cols>
    <col min="1" max="2" width="2.5" customWidth="1"/>
    <col min="3" max="3" width="39" customWidth="1"/>
    <col min="4" max="4" width="22" customWidth="1"/>
    <col min="5" max="5" width="17" customWidth="1"/>
    <col min="6" max="6" width="34" customWidth="1"/>
    <col min="7" max="7" width="28" customWidth="1"/>
    <col min="8" max="9" width="16" customWidth="1"/>
    <col min="10" max="10" width="18" customWidth="1"/>
    <col min="11" max="11" width="38" customWidth="1"/>
  </cols>
  <sheetData>
    <row r="1" spans="1:11" ht="18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>
      <c r="A2" s="11"/>
      <c r="B2" s="11"/>
      <c r="C2" s="12" t="s">
        <v>495</v>
      </c>
      <c r="D2" s="12"/>
      <c r="E2" s="12"/>
      <c r="F2" s="12"/>
      <c r="G2" s="12"/>
      <c r="H2" s="12"/>
      <c r="I2" s="12"/>
      <c r="J2" s="12"/>
      <c r="K2" s="12"/>
    </row>
    <row r="3" spans="1:11" ht="18" customHeight="1">
      <c r="A3" s="11"/>
      <c r="B3" s="11"/>
      <c r="C3" s="13" t="s">
        <v>496</v>
      </c>
      <c r="D3" s="13"/>
      <c r="E3" s="13"/>
      <c r="F3" s="13"/>
      <c r="G3" s="13"/>
      <c r="H3" s="13"/>
      <c r="I3" s="13"/>
      <c r="J3" s="13"/>
      <c r="K3" s="13"/>
    </row>
    <row r="4" spans="1:11" ht="18" customHeight="1">
      <c r="A4" s="11"/>
      <c r="B4" s="11"/>
      <c r="C4" s="14"/>
      <c r="D4" s="14"/>
      <c r="E4" s="14"/>
      <c r="F4" s="14"/>
      <c r="G4" s="14"/>
      <c r="H4" s="14"/>
      <c r="I4" s="14"/>
      <c r="J4" s="14"/>
      <c r="K4" s="14"/>
    </row>
    <row r="5" spans="1:11" ht="18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8" customHeight="1">
      <c r="A6" s="11"/>
      <c r="B6" s="11"/>
      <c r="C6" s="15" t="s">
        <v>497</v>
      </c>
      <c r="D6" s="16"/>
      <c r="E6" s="16"/>
      <c r="F6" s="16"/>
      <c r="G6" s="16"/>
      <c r="H6" s="16"/>
      <c r="I6" s="16"/>
      <c r="J6" s="16"/>
      <c r="K6" s="17"/>
    </row>
    <row r="7" spans="1:11" ht="18" customHeight="1">
      <c r="A7" s="11"/>
      <c r="B7" s="11"/>
      <c r="C7" s="18" t="s">
        <v>498</v>
      </c>
      <c r="D7" s="19" t="s">
        <v>499</v>
      </c>
      <c r="E7" s="19" t="s">
        <v>500</v>
      </c>
      <c r="F7" s="19" t="s">
        <v>501</v>
      </c>
      <c r="G7" s="19" t="s">
        <v>502</v>
      </c>
      <c r="H7" s="19" t="s">
        <v>503</v>
      </c>
      <c r="I7" s="20" t="s">
        <v>504</v>
      </c>
      <c r="J7" s="11"/>
      <c r="K7" s="11"/>
    </row>
    <row r="8" spans="1:11" ht="42" customHeight="1">
      <c r="A8" s="11"/>
      <c r="B8" s="11"/>
      <c r="C8" s="32" t="s">
        <v>505</v>
      </c>
      <c r="D8" s="32" t="s">
        <v>506</v>
      </c>
      <c r="E8" s="32" t="s">
        <v>507</v>
      </c>
      <c r="F8" s="32" t="s">
        <v>508</v>
      </c>
      <c r="G8" s="32" t="s">
        <v>509</v>
      </c>
      <c r="H8" s="32" t="s">
        <v>510</v>
      </c>
      <c r="I8" s="32" t="s">
        <v>511</v>
      </c>
      <c r="J8" s="11"/>
      <c r="K8" s="11"/>
    </row>
    <row r="9" spans="1:11" ht="42" customHeight="1">
      <c r="A9" s="11"/>
      <c r="B9" s="11"/>
      <c r="C9" s="32" t="s">
        <v>512</v>
      </c>
      <c r="D9" s="32" t="s">
        <v>373</v>
      </c>
      <c r="E9" s="32" t="s">
        <v>507</v>
      </c>
      <c r="F9" s="32" t="s">
        <v>513</v>
      </c>
      <c r="G9" s="32" t="s">
        <v>514</v>
      </c>
      <c r="H9" s="32" t="s">
        <v>510</v>
      </c>
      <c r="I9" s="32" t="s">
        <v>511</v>
      </c>
      <c r="J9" s="11"/>
      <c r="K9" s="11"/>
    </row>
    <row r="10" spans="1:11" ht="42" customHeight="1">
      <c r="A10" s="11"/>
      <c r="B10" s="11"/>
      <c r="C10" s="32" t="s">
        <v>515</v>
      </c>
      <c r="D10" s="32" t="s">
        <v>516</v>
      </c>
      <c r="E10" s="32" t="s">
        <v>507</v>
      </c>
      <c r="F10" s="32" t="s">
        <v>513</v>
      </c>
      <c r="G10" s="32" t="s">
        <v>517</v>
      </c>
      <c r="H10" s="32" t="s">
        <v>510</v>
      </c>
      <c r="I10" s="32" t="s">
        <v>511</v>
      </c>
      <c r="J10" s="11"/>
      <c r="K10" s="11"/>
    </row>
    <row r="11" spans="1:11" ht="42" customHeight="1">
      <c r="A11" s="11"/>
      <c r="B11" s="11"/>
      <c r="C11" s="32" t="s">
        <v>518</v>
      </c>
      <c r="D11" s="32" t="s">
        <v>519</v>
      </c>
      <c r="E11" s="32" t="s">
        <v>507</v>
      </c>
      <c r="F11" s="32" t="s">
        <v>513</v>
      </c>
      <c r="G11" s="32" t="s">
        <v>520</v>
      </c>
      <c r="H11" s="32" t="s">
        <v>510</v>
      </c>
      <c r="I11" s="32" t="s">
        <v>511</v>
      </c>
      <c r="J11" s="11"/>
      <c r="K11" s="11"/>
    </row>
    <row r="12" spans="1:11" ht="42" customHeight="1">
      <c r="A12" s="11"/>
      <c r="B12" s="11"/>
      <c r="C12" s="32" t="s">
        <v>521</v>
      </c>
      <c r="D12" s="32" t="s">
        <v>373</v>
      </c>
      <c r="E12" s="32" t="s">
        <v>522</v>
      </c>
      <c r="F12" s="32" t="s">
        <v>523</v>
      </c>
      <c r="G12" s="32" t="s">
        <v>524</v>
      </c>
      <c r="H12" s="32" t="s">
        <v>525</v>
      </c>
      <c r="I12" s="32" t="s">
        <v>526</v>
      </c>
      <c r="J12" s="11"/>
      <c r="K12" s="11"/>
    </row>
    <row r="13" spans="1:11" ht="42" customHeight="1">
      <c r="A13" s="11"/>
      <c r="B13" s="11"/>
      <c r="C13" s="32" t="s">
        <v>527</v>
      </c>
      <c r="D13" s="32" t="s">
        <v>506</v>
      </c>
      <c r="E13" s="32" t="s">
        <v>522</v>
      </c>
      <c r="F13" s="32" t="s">
        <v>523</v>
      </c>
      <c r="G13" s="32" t="s">
        <v>528</v>
      </c>
      <c r="H13" s="32" t="s">
        <v>525</v>
      </c>
      <c r="I13" s="32" t="s">
        <v>526</v>
      </c>
      <c r="J13" s="11"/>
      <c r="K13" s="11"/>
    </row>
    <row r="14" spans="1:11" ht="42" customHeight="1">
      <c r="A14" s="11"/>
      <c r="B14" s="11"/>
      <c r="C14" s="32" t="s">
        <v>529</v>
      </c>
      <c r="D14" s="32" t="s">
        <v>516</v>
      </c>
      <c r="E14" s="32" t="s">
        <v>522</v>
      </c>
      <c r="F14" s="32" t="s">
        <v>523</v>
      </c>
      <c r="G14" s="32" t="s">
        <v>530</v>
      </c>
      <c r="H14" s="32" t="s">
        <v>525</v>
      </c>
      <c r="I14" s="32" t="s">
        <v>526</v>
      </c>
      <c r="J14" s="11"/>
      <c r="K14" s="11"/>
    </row>
    <row r="15" spans="1:11" ht="42" customHeight="1">
      <c r="A15" s="11"/>
      <c r="B15" s="11"/>
      <c r="C15" s="32" t="s">
        <v>531</v>
      </c>
      <c r="D15" s="32" t="s">
        <v>519</v>
      </c>
      <c r="E15" s="32" t="s">
        <v>522</v>
      </c>
      <c r="F15" s="32" t="s">
        <v>523</v>
      </c>
      <c r="G15" s="32" t="s">
        <v>532</v>
      </c>
      <c r="H15" s="32" t="s">
        <v>525</v>
      </c>
      <c r="I15" s="32" t="s">
        <v>526</v>
      </c>
      <c r="J15" s="11"/>
      <c r="K15" s="11"/>
    </row>
    <row r="16" spans="1:11" ht="42" customHeight="1">
      <c r="A16" s="11"/>
      <c r="B16" s="11"/>
      <c r="C16" s="32" t="s">
        <v>533</v>
      </c>
      <c r="D16" s="32" t="s">
        <v>373</v>
      </c>
      <c r="E16" s="32" t="s">
        <v>534</v>
      </c>
      <c r="F16" s="32" t="s">
        <v>535</v>
      </c>
      <c r="G16" s="32" t="s">
        <v>536</v>
      </c>
      <c r="H16" s="32" t="s">
        <v>510</v>
      </c>
      <c r="I16" s="32" t="s">
        <v>511</v>
      </c>
      <c r="J16" s="11"/>
      <c r="K16" s="11"/>
    </row>
    <row r="17" spans="1:11" ht="42" customHeight="1">
      <c r="A17" s="11"/>
      <c r="B17" s="11"/>
      <c r="C17" s="32" t="s">
        <v>537</v>
      </c>
      <c r="D17" s="32" t="s">
        <v>506</v>
      </c>
      <c r="E17" s="32" t="s">
        <v>534</v>
      </c>
      <c r="F17" s="32" t="s">
        <v>535</v>
      </c>
      <c r="G17" s="32" t="s">
        <v>538</v>
      </c>
      <c r="H17" s="32" t="s">
        <v>510</v>
      </c>
      <c r="I17" s="32" t="s">
        <v>511</v>
      </c>
      <c r="J17" s="11"/>
      <c r="K17" s="11"/>
    </row>
    <row r="18" spans="1:11" ht="42" customHeight="1">
      <c r="A18" s="11"/>
      <c r="B18" s="11"/>
      <c r="C18" s="32" t="s">
        <v>539</v>
      </c>
      <c r="D18" s="32" t="s">
        <v>516</v>
      </c>
      <c r="E18" s="32" t="s">
        <v>534</v>
      </c>
      <c r="F18" s="32" t="s">
        <v>535</v>
      </c>
      <c r="G18" s="32" t="s">
        <v>540</v>
      </c>
      <c r="H18" s="32" t="s">
        <v>510</v>
      </c>
      <c r="I18" s="32" t="s">
        <v>511</v>
      </c>
      <c r="J18" s="11"/>
      <c r="K18" s="11"/>
    </row>
    <row r="19" spans="1:11" ht="42" customHeight="1">
      <c r="A19" s="11"/>
      <c r="B19" s="11"/>
      <c r="C19" s="32" t="s">
        <v>541</v>
      </c>
      <c r="D19" s="32" t="s">
        <v>519</v>
      </c>
      <c r="E19" s="32" t="s">
        <v>534</v>
      </c>
      <c r="F19" s="32" t="s">
        <v>535</v>
      </c>
      <c r="G19" s="32" t="s">
        <v>542</v>
      </c>
      <c r="H19" s="32" t="s">
        <v>510</v>
      </c>
      <c r="I19" s="32" t="s">
        <v>511</v>
      </c>
      <c r="J19" s="11"/>
      <c r="K19" s="11"/>
    </row>
    <row r="20" spans="1:11" ht="42" customHeight="1">
      <c r="A20" s="11"/>
      <c r="B20" s="11"/>
      <c r="C20" s="32" t="s">
        <v>543</v>
      </c>
      <c r="D20" s="32" t="s">
        <v>373</v>
      </c>
      <c r="E20" s="32" t="s">
        <v>544</v>
      </c>
      <c r="F20" s="32" t="s">
        <v>545</v>
      </c>
      <c r="G20" s="32" t="s">
        <v>546</v>
      </c>
      <c r="H20" s="32" t="s">
        <v>510</v>
      </c>
      <c r="I20" s="32" t="s">
        <v>547</v>
      </c>
      <c r="J20" s="11"/>
      <c r="K20" s="11"/>
    </row>
    <row r="21" spans="1:11" ht="42" customHeight="1">
      <c r="A21" s="11"/>
      <c r="B21" s="11"/>
      <c r="C21" s="32" t="s">
        <v>548</v>
      </c>
      <c r="D21" s="32" t="s">
        <v>506</v>
      </c>
      <c r="E21" s="32" t="s">
        <v>544</v>
      </c>
      <c r="F21" s="32" t="s">
        <v>549</v>
      </c>
      <c r="G21" s="32" t="s">
        <v>550</v>
      </c>
      <c r="H21" s="32" t="s">
        <v>510</v>
      </c>
      <c r="I21" s="32" t="s">
        <v>511</v>
      </c>
      <c r="J21" s="11"/>
      <c r="K21" s="11"/>
    </row>
    <row r="22" spans="1:11" ht="42" customHeight="1">
      <c r="A22" s="11"/>
      <c r="B22" s="11"/>
      <c r="C22" s="32" t="s">
        <v>551</v>
      </c>
      <c r="D22" s="32" t="s">
        <v>516</v>
      </c>
      <c r="E22" s="32" t="s">
        <v>544</v>
      </c>
      <c r="F22" s="32" t="s">
        <v>552</v>
      </c>
      <c r="G22" s="32" t="s">
        <v>553</v>
      </c>
      <c r="H22" s="32" t="s">
        <v>510</v>
      </c>
      <c r="I22" s="32" t="s">
        <v>511</v>
      </c>
      <c r="J22" s="11"/>
      <c r="K22" s="11"/>
    </row>
    <row r="23" spans="1:11" ht="42" customHeight="1">
      <c r="A23" s="11"/>
      <c r="B23" s="11"/>
      <c r="C23" s="32" t="s">
        <v>554</v>
      </c>
      <c r="D23" s="32" t="s">
        <v>519</v>
      </c>
      <c r="E23" s="32" t="s">
        <v>544</v>
      </c>
      <c r="F23" s="32" t="s">
        <v>555</v>
      </c>
      <c r="G23" s="32" t="s">
        <v>556</v>
      </c>
      <c r="H23" s="32" t="s">
        <v>510</v>
      </c>
      <c r="I23" s="32" t="s">
        <v>557</v>
      </c>
      <c r="J23" s="11"/>
      <c r="K23" s="11"/>
    </row>
    <row r="24" spans="1:11" ht="42" customHeight="1">
      <c r="A24" s="11"/>
      <c r="B24" s="11"/>
      <c r="C24" s="32" t="s">
        <v>558</v>
      </c>
      <c r="D24" s="32" t="s">
        <v>559</v>
      </c>
      <c r="E24" s="32" t="s">
        <v>507</v>
      </c>
      <c r="F24" s="32" t="s">
        <v>560</v>
      </c>
      <c r="G24" s="32" t="s">
        <v>561</v>
      </c>
      <c r="H24" s="32" t="s">
        <v>562</v>
      </c>
      <c r="I24" s="32" t="s">
        <v>563</v>
      </c>
      <c r="J24" s="11"/>
      <c r="K24" s="11"/>
    </row>
    <row r="25" spans="1:11" ht="42" customHeight="1">
      <c r="A25" s="11"/>
      <c r="B25" s="11"/>
      <c r="C25" s="32" t="s">
        <v>564</v>
      </c>
      <c r="D25" s="32" t="s">
        <v>559</v>
      </c>
      <c r="E25" s="32" t="s">
        <v>534</v>
      </c>
      <c r="F25" s="32" t="s">
        <v>565</v>
      </c>
      <c r="G25" s="32" t="s">
        <v>566</v>
      </c>
      <c r="H25" s="32" t="s">
        <v>562</v>
      </c>
      <c r="I25" s="32" t="s">
        <v>563</v>
      </c>
      <c r="J25" s="11"/>
      <c r="K25" s="11"/>
    </row>
    <row r="26" spans="1:11" ht="42" customHeight="1">
      <c r="A26" s="11"/>
      <c r="B26" s="11"/>
      <c r="C26" s="32" t="s">
        <v>567</v>
      </c>
      <c r="D26" s="32" t="s">
        <v>559</v>
      </c>
      <c r="E26" s="32" t="s">
        <v>544</v>
      </c>
      <c r="F26" s="32" t="s">
        <v>568</v>
      </c>
      <c r="G26" s="32" t="s">
        <v>569</v>
      </c>
      <c r="H26" s="32" t="s">
        <v>562</v>
      </c>
      <c r="I26" s="32" t="s">
        <v>563</v>
      </c>
      <c r="J26" s="11"/>
      <c r="K26" s="11"/>
    </row>
    <row r="27" spans="1:11" ht="42" customHeight="1">
      <c r="A27" s="11"/>
      <c r="B27" s="11"/>
      <c r="C27" s="32" t="s">
        <v>570</v>
      </c>
      <c r="D27" s="32" t="s">
        <v>571</v>
      </c>
      <c r="E27" s="32" t="s">
        <v>507</v>
      </c>
      <c r="F27" s="32" t="s">
        <v>572</v>
      </c>
      <c r="G27" s="32" t="s">
        <v>573</v>
      </c>
      <c r="H27" s="32" t="s">
        <v>562</v>
      </c>
      <c r="I27" s="32" t="s">
        <v>574</v>
      </c>
      <c r="J27" s="11"/>
      <c r="K27" s="11"/>
    </row>
    <row r="28" spans="1:11" ht="42" customHeight="1">
      <c r="A28" s="11"/>
      <c r="B28" s="11"/>
      <c r="C28" s="32" t="s">
        <v>575</v>
      </c>
      <c r="D28" s="32" t="s">
        <v>571</v>
      </c>
      <c r="E28" s="32" t="s">
        <v>534</v>
      </c>
      <c r="F28" s="32" t="s">
        <v>576</v>
      </c>
      <c r="G28" s="32" t="s">
        <v>577</v>
      </c>
      <c r="H28" s="32" t="s">
        <v>562</v>
      </c>
      <c r="I28" s="32" t="s">
        <v>578</v>
      </c>
      <c r="J28" s="11"/>
      <c r="K28" s="11"/>
    </row>
    <row r="29" spans="1:11" ht="42" customHeight="1">
      <c r="A29" s="11"/>
      <c r="B29" s="11"/>
      <c r="C29" s="32" t="s">
        <v>579</v>
      </c>
      <c r="D29" s="32" t="s">
        <v>571</v>
      </c>
      <c r="E29" s="32" t="s">
        <v>544</v>
      </c>
      <c r="F29" s="32" t="s">
        <v>580</v>
      </c>
      <c r="G29" s="32" t="s">
        <v>581</v>
      </c>
      <c r="H29" s="32" t="s">
        <v>562</v>
      </c>
      <c r="I29" s="32" t="s">
        <v>582</v>
      </c>
      <c r="J29" s="11"/>
      <c r="K29" s="11"/>
    </row>
    <row r="30" spans="1:11" ht="42" customHeight="1">
      <c r="A30" s="11"/>
      <c r="B30" s="11"/>
      <c r="C30" s="32" t="s">
        <v>583</v>
      </c>
      <c r="D30" s="32" t="s">
        <v>584</v>
      </c>
      <c r="E30" s="32" t="s">
        <v>507</v>
      </c>
      <c r="F30" s="32" t="s">
        <v>585</v>
      </c>
      <c r="G30" s="32" t="s">
        <v>586</v>
      </c>
      <c r="H30" s="32" t="s">
        <v>562</v>
      </c>
      <c r="I30" s="32" t="s">
        <v>587</v>
      </c>
      <c r="J30" s="11"/>
      <c r="K30" s="11"/>
    </row>
    <row r="31" spans="1:11" ht="42" customHeight="1">
      <c r="A31" s="11"/>
      <c r="B31" s="11"/>
      <c r="C31" s="32" t="s">
        <v>588</v>
      </c>
      <c r="D31" s="32" t="s">
        <v>589</v>
      </c>
      <c r="E31" s="32" t="s">
        <v>507</v>
      </c>
      <c r="F31" s="32" t="s">
        <v>590</v>
      </c>
      <c r="G31" s="32" t="s">
        <v>591</v>
      </c>
      <c r="H31" s="32" t="s">
        <v>592</v>
      </c>
      <c r="I31" s="32" t="s">
        <v>593</v>
      </c>
      <c r="J31" s="11"/>
      <c r="K31" s="11"/>
    </row>
    <row r="32" spans="1:11" ht="42" customHeight="1">
      <c r="A32" s="11"/>
      <c r="B32" s="11"/>
      <c r="C32" s="32" t="s">
        <v>594</v>
      </c>
      <c r="D32" s="32" t="s">
        <v>595</v>
      </c>
      <c r="E32" s="32" t="s">
        <v>8</v>
      </c>
      <c r="F32" s="32" t="s">
        <v>596</v>
      </c>
      <c r="G32" s="32" t="s">
        <v>597</v>
      </c>
      <c r="H32" s="32" t="s">
        <v>510</v>
      </c>
      <c r="I32" s="32" t="s">
        <v>598</v>
      </c>
      <c r="J32" s="11"/>
      <c r="K32" s="11"/>
    </row>
    <row r="33" spans="1:11" ht="42" customHeight="1">
      <c r="A33" s="11"/>
      <c r="B33" s="11"/>
      <c r="C33" s="32" t="s">
        <v>599</v>
      </c>
      <c r="D33" s="32" t="s">
        <v>600</v>
      </c>
      <c r="E33" s="32" t="s">
        <v>8</v>
      </c>
      <c r="F33" s="32" t="s">
        <v>596</v>
      </c>
      <c r="G33" s="32" t="s">
        <v>601</v>
      </c>
      <c r="H33" s="32" t="s">
        <v>510</v>
      </c>
      <c r="I33" s="32" t="s">
        <v>598</v>
      </c>
      <c r="J33" s="11"/>
      <c r="K33" s="11"/>
    </row>
    <row r="34" spans="1:11" ht="42" customHeight="1">
      <c r="A34" s="11"/>
      <c r="B34" s="11"/>
      <c r="C34" s="32" t="s">
        <v>602</v>
      </c>
      <c r="D34" s="32" t="s">
        <v>603</v>
      </c>
      <c r="E34" s="32" t="s">
        <v>8</v>
      </c>
      <c r="F34" s="32" t="s">
        <v>604</v>
      </c>
      <c r="G34" s="32" t="s">
        <v>605</v>
      </c>
      <c r="H34" s="32" t="s">
        <v>606</v>
      </c>
      <c r="I34" s="32" t="s">
        <v>607</v>
      </c>
      <c r="J34" s="11"/>
      <c r="K34" s="11"/>
    </row>
    <row r="35" spans="1:11" ht="42" customHeight="1">
      <c r="A35" s="11"/>
      <c r="B35" s="11"/>
      <c r="C35" s="32" t="s">
        <v>608</v>
      </c>
      <c r="D35" s="32" t="s">
        <v>584</v>
      </c>
      <c r="E35" s="32" t="s">
        <v>534</v>
      </c>
      <c r="F35" s="32" t="s">
        <v>609</v>
      </c>
      <c r="G35" s="32" t="s">
        <v>610</v>
      </c>
      <c r="H35" s="32" t="s">
        <v>562</v>
      </c>
      <c r="I35" s="32" t="s">
        <v>611</v>
      </c>
      <c r="J35" s="11"/>
      <c r="K35" s="11"/>
    </row>
    <row r="36" spans="1:11" ht="42" customHeight="1">
      <c r="A36" s="11"/>
      <c r="B36" s="11"/>
      <c r="C36" s="32" t="s">
        <v>612</v>
      </c>
      <c r="D36" s="32" t="s">
        <v>584</v>
      </c>
      <c r="E36" s="32" t="s">
        <v>544</v>
      </c>
      <c r="F36" s="32" t="s">
        <v>613</v>
      </c>
      <c r="G36" s="32" t="s">
        <v>614</v>
      </c>
      <c r="H36" s="32" t="s">
        <v>562</v>
      </c>
      <c r="I36" s="32" t="s">
        <v>615</v>
      </c>
      <c r="J36" s="11"/>
      <c r="K36" s="11"/>
    </row>
    <row r="37" spans="1:11" ht="42" customHeight="1">
      <c r="A37" s="11"/>
      <c r="B37" s="11"/>
      <c r="C37" s="32" t="s">
        <v>616</v>
      </c>
      <c r="D37" s="32" t="s">
        <v>617</v>
      </c>
      <c r="E37" s="32" t="s">
        <v>507</v>
      </c>
      <c r="F37" s="32" t="s">
        <v>618</v>
      </c>
      <c r="G37" s="32" t="s">
        <v>619</v>
      </c>
      <c r="H37" s="32" t="s">
        <v>510</v>
      </c>
      <c r="I37" s="32" t="s">
        <v>620</v>
      </c>
      <c r="J37" s="11"/>
      <c r="K37" s="11"/>
    </row>
    <row r="38" spans="1:11" ht="42" customHeight="1">
      <c r="A38" s="11"/>
      <c r="B38" s="11"/>
      <c r="C38" s="32" t="s">
        <v>621</v>
      </c>
      <c r="D38" s="32" t="s">
        <v>622</v>
      </c>
      <c r="E38" s="32" t="s">
        <v>507</v>
      </c>
      <c r="F38" s="32" t="s">
        <v>623</v>
      </c>
      <c r="G38" s="32" t="s">
        <v>624</v>
      </c>
      <c r="H38" s="32" t="s">
        <v>510</v>
      </c>
      <c r="I38" s="32" t="s">
        <v>625</v>
      </c>
      <c r="J38" s="11"/>
      <c r="K38" s="11"/>
    </row>
    <row r="39" spans="1:11" ht="42" customHeight="1">
      <c r="A39" s="11"/>
      <c r="B39" s="11"/>
      <c r="C39" s="32" t="s">
        <v>626</v>
      </c>
      <c r="D39" s="32" t="s">
        <v>627</v>
      </c>
      <c r="E39" s="32" t="s">
        <v>507</v>
      </c>
      <c r="F39" s="32" t="s">
        <v>628</v>
      </c>
      <c r="G39" s="32" t="s">
        <v>629</v>
      </c>
      <c r="H39" s="32" t="s">
        <v>562</v>
      </c>
      <c r="I39" s="32" t="s">
        <v>630</v>
      </c>
      <c r="J39" s="11"/>
      <c r="K39" s="11"/>
    </row>
    <row r="40" spans="1:11" ht="42" customHeight="1">
      <c r="A40" s="11"/>
      <c r="B40" s="11"/>
      <c r="C40" s="32" t="s">
        <v>631</v>
      </c>
      <c r="D40" s="32" t="s">
        <v>412</v>
      </c>
      <c r="E40" s="32" t="s">
        <v>507</v>
      </c>
      <c r="F40" s="32" t="s">
        <v>632</v>
      </c>
      <c r="G40" s="32" t="s">
        <v>633</v>
      </c>
      <c r="H40" s="32" t="s">
        <v>562</v>
      </c>
      <c r="I40" s="32" t="s">
        <v>634</v>
      </c>
      <c r="J40" s="11"/>
      <c r="K40" s="11"/>
    </row>
    <row r="41" spans="1:11" ht="42" customHeight="1">
      <c r="A41" s="11"/>
      <c r="B41" s="11"/>
      <c r="C41" s="32" t="s">
        <v>635</v>
      </c>
      <c r="D41" s="32" t="s">
        <v>636</v>
      </c>
      <c r="E41" s="32" t="s">
        <v>507</v>
      </c>
      <c r="F41" s="32" t="s">
        <v>637</v>
      </c>
      <c r="G41" s="32" t="s">
        <v>638</v>
      </c>
      <c r="H41" s="32" t="s">
        <v>510</v>
      </c>
      <c r="I41" s="32" t="s">
        <v>639</v>
      </c>
      <c r="J41" s="11"/>
      <c r="K41" s="11"/>
    </row>
    <row r="42" spans="1:11" ht="18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t="18" customHeight="1">
      <c r="A43" s="11"/>
      <c r="B43" s="11"/>
      <c r="C43" s="15" t="s">
        <v>640</v>
      </c>
      <c r="D43" s="16"/>
      <c r="E43" s="16"/>
      <c r="F43" s="16"/>
      <c r="G43" s="16"/>
      <c r="H43" s="16"/>
      <c r="I43" s="16"/>
      <c r="J43" s="16"/>
      <c r="K43" s="17"/>
    </row>
    <row r="44" spans="1:11" ht="18" customHeight="1">
      <c r="A44" s="11"/>
      <c r="B44" s="11"/>
      <c r="C44" s="18" t="s">
        <v>641</v>
      </c>
      <c r="D44" s="1" t="s">
        <v>642</v>
      </c>
      <c r="E44" s="1" t="s">
        <v>643</v>
      </c>
      <c r="F44" s="1" t="s">
        <v>644</v>
      </c>
      <c r="G44" s="1" t="s">
        <v>645</v>
      </c>
      <c r="H44" s="1" t="s">
        <v>646</v>
      </c>
      <c r="I44" s="1" t="s">
        <v>647</v>
      </c>
      <c r="J44" s="1" t="s">
        <v>503</v>
      </c>
      <c r="K44" s="20" t="s">
        <v>504</v>
      </c>
    </row>
    <row r="45" spans="1:11" ht="34" customHeight="1">
      <c r="A45" s="11"/>
      <c r="B45" s="11"/>
      <c r="C45" s="28" t="s">
        <v>648</v>
      </c>
      <c r="D45" s="8">
        <f>ROUND('P&amp;L'!D10-9957.26,2)</f>
        <v>0</v>
      </c>
      <c r="E45" s="8">
        <f>ROUND('P&amp;L'!E10-11848.71,2)</f>
        <v>0</v>
      </c>
      <c r="F45" s="8">
        <f>ROUND('P&amp;L'!F10-12522.64,2)</f>
        <v>0</v>
      </c>
      <c r="G45" s="8">
        <f>ROUND('P&amp;L'!G10-13387.53,2)</f>
        <v>0</v>
      </c>
      <c r="H45" s="8">
        <f>ROUND('P&amp;L'!H10-14867.01,2)</f>
        <v>0</v>
      </c>
      <c r="I45" s="8">
        <v>0.02</v>
      </c>
      <c r="J45" s="11" t="str">
        <f t="shared" ref="J45:J57" si="0">IF(AND(ABS(D45)&lt;=I45,ABS(E45)&lt;=I45,ABS(F45)&lt;=I45,ABS(G45)&lt;=I45,ABS(H45)&lt;=I45),"OK","Review")</f>
        <v>OK</v>
      </c>
      <c r="K45" s="27"/>
    </row>
    <row r="46" spans="1:11" ht="34" customHeight="1">
      <c r="A46" s="11"/>
      <c r="B46" s="11"/>
      <c r="C46" s="28" t="s">
        <v>649</v>
      </c>
      <c r="D46" s="8">
        <f>ROUND('P&amp;L'!D19-8355.36,2)</f>
        <v>0</v>
      </c>
      <c r="E46" s="8">
        <f>ROUND('P&amp;L'!E19-10132.12,2)</f>
        <v>-0.01</v>
      </c>
      <c r="F46" s="8">
        <f>ROUND('P&amp;L'!F19-10067.57,2)</f>
        <v>0</v>
      </c>
      <c r="G46" s="8">
        <f>ROUND('P&amp;L'!G19-10536.63,2)</f>
        <v>0</v>
      </c>
      <c r="H46" s="8">
        <f>ROUND('P&amp;L'!H19-11530.76,2)</f>
        <v>0</v>
      </c>
      <c r="I46" s="8">
        <v>0.02</v>
      </c>
      <c r="J46" s="11" t="str">
        <f t="shared" si="0"/>
        <v>OK</v>
      </c>
      <c r="K46" s="27" t="s">
        <v>650</v>
      </c>
    </row>
    <row r="47" spans="1:11" ht="34" customHeight="1">
      <c r="A47" s="11"/>
      <c r="B47" s="11"/>
      <c r="C47" s="28" t="s">
        <v>651</v>
      </c>
      <c r="D47" s="8">
        <f>ROUND('P&amp;L'!D30-1206.76,2)</f>
        <v>0</v>
      </c>
      <c r="E47" s="8">
        <f>ROUND('P&amp;L'!E30-1288.87,2)</f>
        <v>0</v>
      </c>
      <c r="F47" s="8">
        <f>ROUND('P&amp;L'!F30-1747.42,2)</f>
        <v>0</v>
      </c>
      <c r="G47" s="8">
        <f>ROUND('P&amp;L'!G30-2096.17,2)</f>
        <v>0</v>
      </c>
      <c r="H47" s="8">
        <f>ROUND('P&amp;L'!H30-2470.72,2)</f>
        <v>0</v>
      </c>
      <c r="I47" s="8">
        <v>0.02</v>
      </c>
      <c r="J47" s="11" t="str">
        <f t="shared" si="0"/>
        <v>OK</v>
      </c>
      <c r="K47" s="27"/>
    </row>
    <row r="48" spans="1:11" ht="34" customHeight="1">
      <c r="A48" s="11"/>
      <c r="B48" s="11"/>
      <c r="C48" s="28" t="s">
        <v>652</v>
      </c>
      <c r="D48" s="8">
        <f>ROUND('Balance Sheet'!D31-9515.62,2)</f>
        <v>0</v>
      </c>
      <c r="E48" s="8">
        <f>ROUND('Balance Sheet'!E31-10525.02,2)</f>
        <v>0</v>
      </c>
      <c r="F48" s="8">
        <f>ROUND('Balance Sheet'!F31-12103.95,2)</f>
        <v>0</v>
      </c>
      <c r="G48" s="8">
        <f>ROUND('Balance Sheet'!G31-14011.47,2)</f>
        <v>0</v>
      </c>
      <c r="H48" s="8">
        <f>ROUND('Balance Sheet'!H31-15432.89,2)</f>
        <v>0</v>
      </c>
      <c r="I48" s="8">
        <v>0.02</v>
      </c>
      <c r="J48" s="11" t="str">
        <f t="shared" si="0"/>
        <v>OK</v>
      </c>
      <c r="K48" s="27"/>
    </row>
    <row r="49" spans="1:11" ht="34" customHeight="1">
      <c r="A49" s="11"/>
      <c r="B49" s="11"/>
      <c r="C49" s="28" t="s">
        <v>653</v>
      </c>
      <c r="D49" s="8">
        <f>ROUND('Balance Sheet'!D31-'Balance Sheet'!D57,2)</f>
        <v>0</v>
      </c>
      <c r="E49" s="8">
        <f>ROUND('Balance Sheet'!E31-'Balance Sheet'!E57,2)</f>
        <v>0</v>
      </c>
      <c r="F49" s="8">
        <f>ROUND('Balance Sheet'!F31-'Balance Sheet'!F57,2)</f>
        <v>0</v>
      </c>
      <c r="G49" s="8">
        <f>ROUND('Balance Sheet'!G31-'Balance Sheet'!G57,2)</f>
        <v>0</v>
      </c>
      <c r="H49" s="8">
        <f>ROUND('Balance Sheet'!H31-'Balance Sheet'!H57,2)</f>
        <v>0</v>
      </c>
      <c r="I49" s="8">
        <v>0.02</v>
      </c>
      <c r="J49" s="11" t="str">
        <f t="shared" si="0"/>
        <v>OK</v>
      </c>
      <c r="K49" s="27" t="s">
        <v>654</v>
      </c>
    </row>
    <row r="50" spans="1:11" ht="34" customHeight="1">
      <c r="A50" s="11"/>
      <c r="B50" s="11"/>
      <c r="C50" s="28" t="s">
        <v>655</v>
      </c>
      <c r="D50" s="8">
        <f>ROUND('Cash Flow'!D42-955.37,2)</f>
        <v>0</v>
      </c>
      <c r="E50" s="8">
        <f>ROUND('Cash Flow'!E42-1557.57,2)</f>
        <v>0</v>
      </c>
      <c r="F50" s="8">
        <f>ROUND('Cash Flow'!F42-2724.03,2)</f>
        <v>-0.01</v>
      </c>
      <c r="G50" s="8">
        <f>ROUND('Cash Flow'!G42-2286.63,2)</f>
        <v>0</v>
      </c>
      <c r="H50" s="8">
        <f>ROUND('Cash Flow'!H42-2828.45,2)</f>
        <v>0</v>
      </c>
      <c r="I50" s="8">
        <v>0.02</v>
      </c>
      <c r="J50" s="11" t="str">
        <f t="shared" si="0"/>
        <v>OK</v>
      </c>
      <c r="K50" s="27"/>
    </row>
    <row r="51" spans="1:11" ht="34" customHeight="1">
      <c r="A51" s="11"/>
      <c r="B51" s="11"/>
      <c r="C51" s="28" t="s">
        <v>656</v>
      </c>
      <c r="D51" s="8">
        <f>ROUND('Cash Flow'!D57-(-558.14),2)</f>
        <v>0</v>
      </c>
      <c r="E51" s="8">
        <f>ROUND('Cash Flow'!E57-(-898.95),2)</f>
        <v>0</v>
      </c>
      <c r="F51" s="8">
        <f>ROUND('Cash Flow'!F57-(-1769.29),2)</f>
        <v>0</v>
      </c>
      <c r="G51" s="8">
        <f>ROUND('Cash Flow'!G57-(-1541.59),2)</f>
        <v>0</v>
      </c>
      <c r="H51" s="8">
        <f>ROUND('Cash Flow'!H57-(-1224.1),2)</f>
        <v>0</v>
      </c>
      <c r="I51" s="8">
        <v>0.02</v>
      </c>
      <c r="J51" s="11" t="str">
        <f t="shared" si="0"/>
        <v>OK</v>
      </c>
      <c r="K51" s="27"/>
    </row>
    <row r="52" spans="1:11" ht="34" customHeight="1">
      <c r="A52" s="11"/>
      <c r="B52" s="11"/>
      <c r="C52" s="28" t="s">
        <v>657</v>
      </c>
      <c r="D52" s="8">
        <f>ROUND('Cash Flow'!D70-(-467.96),2)</f>
        <v>0</v>
      </c>
      <c r="E52" s="8">
        <f>ROUND('Cash Flow'!E70-(-656.43),2)</f>
        <v>0</v>
      </c>
      <c r="F52" s="8">
        <f>ROUND('Cash Flow'!F70-(-742.45),2)</f>
        <v>0</v>
      </c>
      <c r="G52" s="8">
        <f>ROUND('Cash Flow'!G70-(-917.94),2)</f>
        <v>0</v>
      </c>
      <c r="H52" s="8">
        <f>ROUND('Cash Flow'!H70-(-1672.77),2)</f>
        <v>0</v>
      </c>
      <c r="I52" s="8">
        <v>0.02</v>
      </c>
      <c r="J52" s="11" t="str">
        <f t="shared" si="0"/>
        <v>OK</v>
      </c>
      <c r="K52" s="27"/>
    </row>
    <row r="53" spans="1:11" ht="34" customHeight="1">
      <c r="A53" s="11"/>
      <c r="B53" s="11"/>
      <c r="C53" s="28" t="s">
        <v>658</v>
      </c>
      <c r="D53" s="8">
        <f>ROUND('Cash Flow'!D73-(-70.73),2)</f>
        <v>0</v>
      </c>
      <c r="E53" s="8">
        <f>ROUND('Cash Flow'!E73-2.19,2)</f>
        <v>0</v>
      </c>
      <c r="F53" s="8">
        <f>ROUND('Cash Flow'!F73-212.29,2)</f>
        <v>-0.01</v>
      </c>
      <c r="G53" s="8">
        <f>ROUND('Cash Flow'!G73-(-172.9),2)</f>
        <v>0</v>
      </c>
      <c r="H53" s="8">
        <f>ROUND('Cash Flow'!H73-(-68.42),2)</f>
        <v>0</v>
      </c>
      <c r="I53" s="8">
        <v>0.02</v>
      </c>
      <c r="J53" s="11" t="str">
        <f t="shared" si="0"/>
        <v>OK</v>
      </c>
      <c r="K53" s="27"/>
    </row>
    <row r="54" spans="1:11" ht="34" customHeight="1">
      <c r="A54" s="11"/>
      <c r="B54" s="11"/>
      <c r="C54" s="28" t="s">
        <v>659</v>
      </c>
      <c r="D54" s="8">
        <f>ROUND('Balance Sheet'!D25-'Cash Flow'!D79-95.6,2)</f>
        <v>0</v>
      </c>
      <c r="E54" s="8">
        <f>ROUND('Balance Sheet'!E25-'Cash Flow'!E79-52.05,2)</f>
        <v>0</v>
      </c>
      <c r="F54" s="8">
        <f>ROUND('Balance Sheet'!F25-'Cash Flow'!F79-56.25,2)</f>
        <v>0</v>
      </c>
      <c r="G54" s="8">
        <f>ROUND('Balance Sheet'!G25-'Cash Flow'!G79-37.32,2)</f>
        <v>0</v>
      </c>
      <c r="H54" s="8">
        <f>ROUND('Balance Sheet'!H25-'Cash Flow'!H79-14.29,2)</f>
        <v>0</v>
      </c>
      <c r="I54" s="8">
        <v>0.02</v>
      </c>
      <c r="J54" s="11" t="str">
        <f t="shared" si="0"/>
        <v>OK</v>
      </c>
      <c r="K54" s="27" t="s">
        <v>660</v>
      </c>
    </row>
    <row r="55" spans="1:11" ht="34" customHeight="1">
      <c r="A55" s="11"/>
      <c r="B55" s="11"/>
      <c r="C55" s="28" t="s">
        <v>661</v>
      </c>
      <c r="D55" s="8">
        <f>ROUND(Revenue!D11-'P&amp;L'!D7,2)</f>
        <v>0</v>
      </c>
      <c r="E55" s="8">
        <f>ROUND(Revenue!E11-'P&amp;L'!E7,2)</f>
        <v>0</v>
      </c>
      <c r="F55" s="8">
        <f>ROUND(Revenue!F11-'P&amp;L'!F7,2)</f>
        <v>0</v>
      </c>
      <c r="G55" s="8">
        <f>ROUND(Revenue!G11-'P&amp;L'!G7,2)</f>
        <v>0</v>
      </c>
      <c r="H55" s="8">
        <f>ROUND(Revenue!H11-'P&amp;L'!H7,2)</f>
        <v>0</v>
      </c>
      <c r="I55" s="8">
        <v>0.02</v>
      </c>
      <c r="J55" s="11" t="str">
        <f t="shared" si="0"/>
        <v>OK</v>
      </c>
      <c r="K55" s="27" t="s">
        <v>662</v>
      </c>
    </row>
    <row r="56" spans="1:11" ht="34" customHeight="1">
      <c r="A56" s="11"/>
      <c r="B56" s="11"/>
      <c r="C56" s="28" t="s">
        <v>663</v>
      </c>
      <c r="D56" s="8">
        <f>ROUND(Segment!D10-'P&amp;L'!D7,2)</f>
        <v>0</v>
      </c>
      <c r="E56" s="8">
        <f>ROUND(Segment!E10-'P&amp;L'!E7,2)</f>
        <v>0</v>
      </c>
      <c r="F56" s="8">
        <f>ROUND(Segment!F10-'P&amp;L'!F7,2)</f>
        <v>0.01</v>
      </c>
      <c r="G56" s="8">
        <f>ROUND(Segment!G10-'P&amp;L'!G7,2)</f>
        <v>0</v>
      </c>
      <c r="H56" s="8">
        <f>ROUND(Segment!H10-'P&amp;L'!H7,2)</f>
        <v>0</v>
      </c>
      <c r="I56" s="8">
        <v>0.02</v>
      </c>
      <c r="J56" s="11" t="str">
        <f t="shared" si="0"/>
        <v>OK</v>
      </c>
      <c r="K56" s="27" t="s">
        <v>664</v>
      </c>
    </row>
    <row r="57" spans="1:11" ht="34" customHeight="1">
      <c r="A57" s="11"/>
      <c r="B57" s="11"/>
      <c r="C57" s="28" t="s">
        <v>665</v>
      </c>
      <c r="D57" s="8">
        <f>ROUND(Segment!D30-'P&amp;L'!D24,2)</f>
        <v>0</v>
      </c>
      <c r="E57" s="8">
        <f>ROUND(Segment!E30-'P&amp;L'!E24,2)</f>
        <v>0</v>
      </c>
      <c r="F57" s="8">
        <f>ROUND(Segment!F30-'P&amp;L'!F24,2)</f>
        <v>0</v>
      </c>
      <c r="G57" s="8">
        <f>ROUND(Segment!G30-'P&amp;L'!G24,2)</f>
        <v>0</v>
      </c>
      <c r="H57" s="8">
        <f>ROUND(Segment!H30-'P&amp;L'!H24,2)</f>
        <v>0</v>
      </c>
      <c r="I57" s="8">
        <v>0.02</v>
      </c>
      <c r="J57" s="11" t="str">
        <f t="shared" si="0"/>
        <v>OK</v>
      </c>
      <c r="K57" s="27" t="s">
        <v>666</v>
      </c>
    </row>
    <row r="58" spans="1:11" ht="18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spans="1:11" ht="18" customHeight="1">
      <c r="A59" s="11"/>
      <c r="B59" s="11"/>
      <c r="C59" s="15" t="s">
        <v>667</v>
      </c>
      <c r="D59" s="16"/>
      <c r="E59" s="16"/>
      <c r="F59" s="16"/>
      <c r="G59" s="16"/>
      <c r="H59" s="16"/>
      <c r="I59" s="16"/>
      <c r="J59" s="16"/>
      <c r="K59" s="17"/>
    </row>
    <row r="60" spans="1:11" ht="18" customHeight="1">
      <c r="A60" s="11"/>
      <c r="B60" s="11"/>
      <c r="C60" s="18" t="s">
        <v>641</v>
      </c>
      <c r="D60" s="1" t="s">
        <v>668</v>
      </c>
      <c r="E60" s="1" t="s">
        <v>647</v>
      </c>
      <c r="F60" s="1" t="s">
        <v>503</v>
      </c>
      <c r="G60" s="20" t="s">
        <v>504</v>
      </c>
      <c r="H60" s="11"/>
      <c r="I60" s="11"/>
      <c r="J60" s="11"/>
      <c r="K60" s="11"/>
    </row>
    <row r="61" spans="1:11" ht="30" customHeight="1">
      <c r="A61" s="11"/>
      <c r="B61" s="11"/>
      <c r="C61" s="62" t="s">
        <v>669</v>
      </c>
      <c r="D61" s="8">
        <f>ROUND('P&amp;L'!G7-13140.31,2)</f>
        <v>0</v>
      </c>
      <c r="E61" s="8">
        <v>0.01</v>
      </c>
      <c r="F61" s="11" t="str">
        <f t="shared" ref="F61:F69" si="1">IF(ABS(D61)&lt;=E61,"OK","Review")</f>
        <v>OK</v>
      </c>
      <c r="G61" s="11" t="s">
        <v>670</v>
      </c>
      <c r="H61" s="11"/>
      <c r="I61" s="11"/>
      <c r="J61" s="11"/>
      <c r="K61" s="11"/>
    </row>
    <row r="62" spans="1:11" ht="30" customHeight="1">
      <c r="A62" s="11"/>
      <c r="B62" s="11"/>
      <c r="C62" s="62" t="s">
        <v>671</v>
      </c>
      <c r="D62" s="8">
        <f>ROUND('P&amp;L'!F7-12382.99,2)</f>
        <v>0</v>
      </c>
      <c r="E62" s="8">
        <v>0.01</v>
      </c>
      <c r="F62" s="11" t="str">
        <f t="shared" si="1"/>
        <v>OK</v>
      </c>
      <c r="G62" s="11" t="s">
        <v>670</v>
      </c>
      <c r="H62" s="11"/>
      <c r="I62" s="11"/>
      <c r="J62" s="11"/>
      <c r="K62" s="11"/>
    </row>
    <row r="63" spans="1:11" ht="30" customHeight="1">
      <c r="A63" s="11"/>
      <c r="B63" s="11"/>
      <c r="C63" s="62" t="s">
        <v>672</v>
      </c>
      <c r="D63" s="8">
        <f>ROUND('Balance Sheet'!F31-12103.95,2)</f>
        <v>0</v>
      </c>
      <c r="E63" s="8">
        <v>0.01</v>
      </c>
      <c r="F63" s="11" t="str">
        <f t="shared" si="1"/>
        <v>OK</v>
      </c>
      <c r="G63" s="11" t="s">
        <v>670</v>
      </c>
      <c r="H63" s="11"/>
      <c r="I63" s="11"/>
      <c r="J63" s="11"/>
      <c r="K63" s="11"/>
    </row>
    <row r="64" spans="1:11" ht="30" customHeight="1">
      <c r="A64" s="11"/>
      <c r="B64" s="11"/>
      <c r="C64" s="62" t="s">
        <v>673</v>
      </c>
      <c r="D64" s="8">
        <f>ROUND('Cash Flow'!F42-2724.03,2)</f>
        <v>-0.01</v>
      </c>
      <c r="E64" s="8">
        <v>0.01</v>
      </c>
      <c r="F64" s="11" t="str">
        <f t="shared" si="1"/>
        <v>OK</v>
      </c>
      <c r="G64" s="11" t="s">
        <v>670</v>
      </c>
      <c r="H64" s="11"/>
      <c r="I64" s="11"/>
      <c r="J64" s="11"/>
      <c r="K64" s="11"/>
    </row>
    <row r="65" spans="1:11" ht="30" customHeight="1">
      <c r="A65" s="11"/>
      <c r="B65" s="11"/>
      <c r="C65" s="62" t="s">
        <v>674</v>
      </c>
      <c r="D65" s="8">
        <f>ROUND('P&amp;L'!E7-11799.1,2)</f>
        <v>0</v>
      </c>
      <c r="E65" s="8">
        <v>0.01</v>
      </c>
      <c r="F65" s="11" t="str">
        <f t="shared" si="1"/>
        <v>OK</v>
      </c>
      <c r="G65" s="11" t="s">
        <v>670</v>
      </c>
      <c r="H65" s="11"/>
      <c r="I65" s="11"/>
      <c r="J65" s="11"/>
      <c r="K65" s="11"/>
    </row>
    <row r="66" spans="1:11" ht="30" customHeight="1">
      <c r="A66" s="11"/>
      <c r="B66" s="11"/>
      <c r="C66" s="62" t="s">
        <v>675</v>
      </c>
      <c r="D66" s="8">
        <f>ROUND('Balance Sheet'!E31-10525.02,2)</f>
        <v>0</v>
      </c>
      <c r="E66" s="8">
        <v>0.01</v>
      </c>
      <c r="F66" s="11" t="str">
        <f t="shared" si="1"/>
        <v>OK</v>
      </c>
      <c r="G66" s="11" t="s">
        <v>670</v>
      </c>
      <c r="H66" s="11"/>
      <c r="I66" s="11"/>
      <c r="J66" s="11"/>
      <c r="K66" s="11"/>
    </row>
    <row r="67" spans="1:11" ht="30" customHeight="1">
      <c r="A67" s="11"/>
      <c r="B67" s="11"/>
      <c r="C67" s="62" t="s">
        <v>676</v>
      </c>
      <c r="D67" s="8">
        <f>ROUND('Cash Flow'!E42-1557.57,2)</f>
        <v>0</v>
      </c>
      <c r="E67" s="8">
        <v>0.01</v>
      </c>
      <c r="F67" s="11" t="str">
        <f t="shared" si="1"/>
        <v>OK</v>
      </c>
      <c r="G67" s="11" t="s">
        <v>670</v>
      </c>
      <c r="H67" s="11"/>
      <c r="I67" s="11"/>
      <c r="J67" s="11"/>
      <c r="K67" s="11"/>
    </row>
    <row r="68" spans="1:11" ht="30" customHeight="1">
      <c r="A68" s="11"/>
      <c r="B68" s="11"/>
      <c r="C68" s="62" t="s">
        <v>677</v>
      </c>
      <c r="D68" s="8">
        <f>ROUND(Segment!E10-11799.1,2)</f>
        <v>0</v>
      </c>
      <c r="E68" s="8">
        <v>0.01</v>
      </c>
      <c r="F68" s="11" t="str">
        <f t="shared" si="1"/>
        <v>OK</v>
      </c>
      <c r="G68" s="11" t="s">
        <v>670</v>
      </c>
      <c r="H68" s="11"/>
      <c r="I68" s="11"/>
      <c r="J68" s="11"/>
      <c r="K68" s="11"/>
    </row>
    <row r="69" spans="1:11" ht="30" customHeight="1">
      <c r="A69" s="11"/>
      <c r="B69" s="11"/>
      <c r="C69" s="62" t="s">
        <v>678</v>
      </c>
      <c r="D69" s="8">
        <f>ROUND(Segment!E24-2294.7,2)</f>
        <v>0</v>
      </c>
      <c r="E69" s="8">
        <v>0.01</v>
      </c>
      <c r="F69" s="11" t="str">
        <f t="shared" si="1"/>
        <v>OK</v>
      </c>
      <c r="G69" s="11" t="s">
        <v>670</v>
      </c>
      <c r="H69" s="11"/>
      <c r="I69" s="11"/>
      <c r="J69" s="11"/>
      <c r="K69" s="11"/>
    </row>
  </sheetData>
  <conditionalFormatting sqref="J45:J57">
    <cfRule type="containsText" dxfId="0" priority="1" operator="containsText" text="Review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Assumptions</vt:lpstr>
      <vt:lpstr>Forecast</vt:lpstr>
      <vt:lpstr>DCF</vt:lpstr>
      <vt:lpstr>Valuation Bridge</vt:lpstr>
      <vt:lpstr>Revenue</vt:lpstr>
      <vt:lpstr>P&amp;L</vt:lpstr>
      <vt:lpstr>Segment</vt:lpstr>
      <vt:lpstr>Balance Sheet</vt:lpstr>
      <vt:lpstr>Cash Flow</vt:lpstr>
      <vt:lpstr>FCF</vt:lpstr>
      <vt:lpstr>Sources &amp;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Purkar</cp:lastModifiedBy>
  <dcterms:modified xsi:type="dcterms:W3CDTF">2026-09-12T19:37:28Z</dcterms:modified>
</cp:coreProperties>
</file>